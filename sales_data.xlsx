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C:\Users\shefi\Downloads\ARC-ESM Data  Analysis Class\"/>
    </mc:Choice>
  </mc:AlternateContent>
  <xr:revisionPtr revIDLastSave="0" documentId="13_ncr:1_{DCF9EBE8-7FAF-4BC8-9154-7B3FD2946170}" xr6:coauthVersionLast="47" xr6:coauthVersionMax="47" xr10:uidLastSave="{00000000-0000-0000-0000-000000000000}"/>
  <bookViews>
    <workbookView xWindow="-110" yWindow="-110" windowWidth="19420" windowHeight="10300" firstSheet="2" activeTab="5" xr2:uid="{08E1C1C3-0FEA-43AD-84A9-6EC05EB3F75A}"/>
  </bookViews>
  <sheets>
    <sheet name="Cost Per Unit" sheetId="3" r:id="rId1"/>
    <sheet name="Retail Store Sales" sheetId="4" r:id="rId2"/>
    <sheet name="Work" sheetId="6" r:id="rId3"/>
    <sheet name="Descriptive Analysis" sheetId="13" r:id="rId4"/>
    <sheet name="Analysis" sheetId="5" r:id="rId5"/>
    <sheet name="Dashboard" sheetId="10" r:id="rId6"/>
  </sheets>
  <definedNames>
    <definedName name="_xlcn.WorksheetConnection_sales_data.xlsxWork1" hidden="1">Work[]</definedName>
    <definedName name="Slicer_Country">#N/A</definedName>
    <definedName name="Slicer_month">#N/A</definedName>
    <definedName name="Slicer_Payment_Method">#N/A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ork" name="Work" connection="WorksheetConnection_sales_data.xlsx!Work"/>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6" l="1"/>
  <c r="H178" i="6"/>
  <c r="H450" i="6"/>
  <c r="H451" i="6"/>
  <c r="H179" i="6"/>
  <c r="H402" i="6"/>
  <c r="H255" i="6"/>
  <c r="H128" i="6"/>
  <c r="H493" i="6"/>
  <c r="H180" i="6"/>
  <c r="H211" i="6"/>
  <c r="H494" i="6"/>
  <c r="H256" i="6"/>
  <c r="H81" i="6"/>
  <c r="H257" i="6"/>
  <c r="H495" i="6"/>
  <c r="H82" i="6"/>
  <c r="H83" i="6"/>
  <c r="H258" i="6"/>
  <c r="H355" i="6"/>
  <c r="H403" i="6"/>
  <c r="H259" i="6"/>
  <c r="H307" i="6"/>
  <c r="H496" i="6"/>
  <c r="H35" i="6"/>
  <c r="H2" i="6"/>
  <c r="H212" i="6"/>
  <c r="H308" i="6"/>
  <c r="H36" i="6"/>
  <c r="H356" i="6"/>
  <c r="H497" i="6"/>
  <c r="H404" i="6"/>
  <c r="H357" i="6"/>
  <c r="H181" i="6"/>
  <c r="H405" i="6"/>
  <c r="H3" i="6"/>
  <c r="H358" i="6"/>
  <c r="H129" i="6"/>
  <c r="H498" i="6"/>
  <c r="H37" i="6"/>
  <c r="H130" i="6"/>
  <c r="H182" i="6"/>
  <c r="H309" i="6"/>
  <c r="H499" i="6"/>
  <c r="H310" i="6"/>
  <c r="H500" i="6"/>
  <c r="H260" i="6"/>
  <c r="H4" i="6"/>
  <c r="H5" i="6"/>
  <c r="H311" i="6"/>
  <c r="H406" i="6"/>
  <c r="H501" i="6"/>
  <c r="H359" i="6"/>
  <c r="H360" i="6"/>
  <c r="H261" i="6"/>
  <c r="H131" i="6"/>
  <c r="H84" i="6"/>
  <c r="H312" i="6"/>
  <c r="H183" i="6"/>
  <c r="H213" i="6"/>
  <c r="H313" i="6"/>
  <c r="H502" i="6"/>
  <c r="H6" i="6"/>
  <c r="H7" i="6"/>
  <c r="H85" i="6"/>
  <c r="H262" i="6"/>
  <c r="H452" i="6"/>
  <c r="H132" i="6"/>
  <c r="H86" i="6"/>
  <c r="H314" i="6"/>
  <c r="H133" i="6"/>
  <c r="H407" i="6"/>
  <c r="H361" i="6"/>
  <c r="H263" i="6"/>
  <c r="H214" i="6"/>
  <c r="H215" i="6"/>
  <c r="H184" i="6"/>
  <c r="H134" i="6"/>
  <c r="H362" i="6"/>
  <c r="H453" i="6"/>
  <c r="H135" i="6"/>
  <c r="H216" i="6"/>
  <c r="H503" i="6"/>
  <c r="H38" i="6"/>
  <c r="H315" i="6"/>
  <c r="H363" i="6"/>
  <c r="H217" i="6"/>
  <c r="H218" i="6"/>
  <c r="H316" i="6"/>
  <c r="H504" i="6"/>
  <c r="H505" i="6"/>
  <c r="H454" i="6"/>
  <c r="H87" i="6"/>
  <c r="H185" i="6"/>
  <c r="H408" i="6"/>
  <c r="H219" i="6"/>
  <c r="H364" i="6"/>
  <c r="H365" i="6"/>
  <c r="H506" i="6"/>
  <c r="H39" i="6"/>
  <c r="H40" i="6"/>
  <c r="H41" i="6"/>
  <c r="H317" i="6"/>
  <c r="H455" i="6"/>
  <c r="H88" i="6"/>
  <c r="H136" i="6"/>
  <c r="H366" i="6"/>
  <c r="H318" i="6"/>
  <c r="H89" i="6"/>
  <c r="H137" i="6"/>
  <c r="H264" i="6"/>
  <c r="H265" i="6"/>
  <c r="H8" i="6"/>
  <c r="H42" i="6"/>
  <c r="H456" i="6"/>
  <c r="H138" i="6"/>
  <c r="H367" i="6"/>
  <c r="H507" i="6"/>
  <c r="H319" i="6"/>
  <c r="H457" i="6"/>
  <c r="H458" i="6"/>
  <c r="H320" i="6"/>
  <c r="H90" i="6"/>
  <c r="H266" i="6"/>
  <c r="H508" i="6"/>
  <c r="H459" i="6"/>
  <c r="H91" i="6"/>
  <c r="H509" i="6"/>
  <c r="H9" i="6"/>
  <c r="H409" i="6"/>
  <c r="H410" i="6"/>
  <c r="H321" i="6"/>
  <c r="H43" i="6"/>
  <c r="H368" i="6"/>
  <c r="H92" i="6"/>
  <c r="H411" i="6"/>
  <c r="H220" i="6"/>
  <c r="H267" i="6"/>
  <c r="H186" i="6"/>
  <c r="H460" i="6"/>
  <c r="H461" i="6"/>
  <c r="H369" i="6"/>
  <c r="H370" i="6"/>
  <c r="H221" i="6"/>
  <c r="H222" i="6"/>
  <c r="H268" i="6"/>
  <c r="H269" i="6"/>
  <c r="H93" i="6"/>
  <c r="H94" i="6"/>
  <c r="H95" i="6"/>
  <c r="H10" i="6"/>
  <c r="H96" i="6"/>
  <c r="H322" i="6"/>
  <c r="H510" i="6"/>
  <c r="H187" i="6"/>
  <c r="H223" i="6"/>
  <c r="H371" i="6"/>
  <c r="H224" i="6"/>
  <c r="H139" i="6"/>
  <c r="H372" i="6"/>
  <c r="H462" i="6"/>
  <c r="H511" i="6"/>
  <c r="H44" i="6"/>
  <c r="H225" i="6"/>
  <c r="H45" i="6"/>
  <c r="H463" i="6"/>
  <c r="H412" i="6"/>
  <c r="H413" i="6"/>
  <c r="H464" i="6"/>
  <c r="H373" i="6"/>
  <c r="H270" i="6"/>
  <c r="H465" i="6"/>
  <c r="H323" i="6"/>
  <c r="H324" i="6"/>
  <c r="H140" i="6"/>
  <c r="H466" i="6"/>
  <c r="H141" i="6"/>
  <c r="H325" i="6"/>
  <c r="H226" i="6"/>
  <c r="H97" i="6"/>
  <c r="H271" i="6"/>
  <c r="H414" i="6"/>
  <c r="H467" i="6"/>
  <c r="H374" i="6"/>
  <c r="H227" i="6"/>
  <c r="H468" i="6"/>
  <c r="H512" i="6"/>
  <c r="H415" i="6"/>
  <c r="H416" i="6"/>
  <c r="H142" i="6"/>
  <c r="H469" i="6"/>
  <c r="H417" i="6"/>
  <c r="H11" i="6"/>
  <c r="H143" i="6"/>
  <c r="H470" i="6"/>
  <c r="H98" i="6"/>
  <c r="H228" i="6"/>
  <c r="H418" i="6"/>
  <c r="H375" i="6"/>
  <c r="H229" i="6"/>
  <c r="H230" i="6"/>
  <c r="H326" i="6"/>
  <c r="H327" i="6"/>
  <c r="H188" i="6"/>
  <c r="H231" i="6"/>
  <c r="H471" i="6"/>
  <c r="H419" i="6"/>
  <c r="H420" i="6"/>
  <c r="H99" i="6"/>
  <c r="H421" i="6"/>
  <c r="H189" i="6"/>
  <c r="H272" i="6"/>
  <c r="H144" i="6"/>
  <c r="H12" i="6"/>
  <c r="H100" i="6"/>
  <c r="H46" i="6"/>
  <c r="H513" i="6"/>
  <c r="H328" i="6"/>
  <c r="H422" i="6"/>
  <c r="H329" i="6"/>
  <c r="H145" i="6"/>
  <c r="H146" i="6"/>
  <c r="H273" i="6"/>
  <c r="H190" i="6"/>
  <c r="H232" i="6"/>
  <c r="H191" i="6"/>
  <c r="H147" i="6"/>
  <c r="H423" i="6"/>
  <c r="H472" i="6"/>
  <c r="H330" i="6"/>
  <c r="H148" i="6"/>
  <c r="H514" i="6"/>
  <c r="H13" i="6"/>
  <c r="H47" i="6"/>
  <c r="H233" i="6"/>
  <c r="H274" i="6"/>
  <c r="H376" i="6"/>
  <c r="H48" i="6"/>
  <c r="H234" i="6"/>
  <c r="H275" i="6"/>
  <c r="H473" i="6"/>
  <c r="H49" i="6"/>
  <c r="H474" i="6"/>
  <c r="H276" i="6"/>
  <c r="H50" i="6"/>
  <c r="H277" i="6"/>
  <c r="H278" i="6"/>
  <c r="H149" i="6"/>
  <c r="H515" i="6"/>
  <c r="H516" i="6"/>
  <c r="H517" i="6"/>
  <c r="H14" i="6"/>
  <c r="H518" i="6"/>
  <c r="H235" i="6"/>
  <c r="H150" i="6"/>
  <c r="H236" i="6"/>
  <c r="H151" i="6"/>
  <c r="H475" i="6"/>
  <c r="H279" i="6"/>
  <c r="H280" i="6"/>
  <c r="H51" i="6"/>
  <c r="H424" i="6"/>
  <c r="H15" i="6"/>
  <c r="H425" i="6"/>
  <c r="H426" i="6"/>
  <c r="H152" i="6"/>
  <c r="H476" i="6"/>
  <c r="H427" i="6"/>
  <c r="H331" i="6"/>
  <c r="H428" i="6"/>
  <c r="H52" i="6"/>
  <c r="H237" i="6"/>
  <c r="H238" i="6"/>
  <c r="H332" i="6"/>
  <c r="H519" i="6"/>
  <c r="H520" i="6"/>
  <c r="H101" i="6"/>
  <c r="H102" i="6"/>
  <c r="H103" i="6"/>
  <c r="H153" i="6"/>
  <c r="H281" i="6"/>
  <c r="H154" i="6"/>
  <c r="H192" i="6"/>
  <c r="H521" i="6"/>
  <c r="H477" i="6"/>
  <c r="H53" i="6"/>
  <c r="H478" i="6"/>
  <c r="H54" i="6"/>
  <c r="H16" i="6"/>
  <c r="H155" i="6"/>
  <c r="H282" i="6"/>
  <c r="H377" i="6"/>
  <c r="H283" i="6"/>
  <c r="H284" i="6"/>
  <c r="H193" i="6"/>
  <c r="H479" i="6"/>
  <c r="H522" i="6"/>
  <c r="H378" i="6"/>
  <c r="H480" i="6"/>
  <c r="H194" i="6"/>
  <c r="H104" i="6"/>
  <c r="H523" i="6"/>
  <c r="H429" i="6"/>
  <c r="H17" i="6"/>
  <c r="H285" i="6"/>
  <c r="H333" i="6"/>
  <c r="H239" i="6"/>
  <c r="H55" i="6"/>
  <c r="H18" i="6"/>
  <c r="H240" i="6"/>
  <c r="H241" i="6"/>
  <c r="H334" i="6"/>
  <c r="H242" i="6"/>
  <c r="H19" i="6"/>
  <c r="H379" i="6"/>
  <c r="H524" i="6"/>
  <c r="H286" i="6"/>
  <c r="H287" i="6"/>
  <c r="H105" i="6"/>
  <c r="H243" i="6"/>
  <c r="H481" i="6"/>
  <c r="H335" i="6"/>
  <c r="H195" i="6"/>
  <c r="H288" i="6"/>
  <c r="H289" i="6"/>
  <c r="H336" i="6"/>
  <c r="H525" i="6"/>
  <c r="H526" i="6"/>
  <c r="H527" i="6"/>
  <c r="H156" i="6"/>
  <c r="H337" i="6"/>
  <c r="H528" i="6"/>
  <c r="H157" i="6"/>
  <c r="H106" i="6"/>
  <c r="H430" i="6"/>
  <c r="H338" i="6"/>
  <c r="H339" i="6"/>
  <c r="H529" i="6"/>
  <c r="H196" i="6"/>
  <c r="H290" i="6"/>
  <c r="H530" i="6"/>
  <c r="H56" i="6"/>
  <c r="H158" i="6"/>
  <c r="H244" i="6"/>
  <c r="H431" i="6"/>
  <c r="H245" i="6"/>
  <c r="H482" i="6"/>
  <c r="H380" i="6"/>
  <c r="H381" i="6"/>
  <c r="H159" i="6"/>
  <c r="H531" i="6"/>
  <c r="H57" i="6"/>
  <c r="H246" i="6"/>
  <c r="H340" i="6"/>
  <c r="H432" i="6"/>
  <c r="H291" i="6"/>
  <c r="H107" i="6"/>
  <c r="H197" i="6"/>
  <c r="H58" i="6"/>
  <c r="H59" i="6"/>
  <c r="H160" i="6"/>
  <c r="H382" i="6"/>
  <c r="H292" i="6"/>
  <c r="H433" i="6"/>
  <c r="H247" i="6"/>
  <c r="H532" i="6"/>
  <c r="H108" i="6"/>
  <c r="H341" i="6"/>
  <c r="H483" i="6"/>
  <c r="H342" i="6"/>
  <c r="H383" i="6"/>
  <c r="H434" i="6"/>
  <c r="H533" i="6"/>
  <c r="H198" i="6"/>
  <c r="H248" i="6"/>
  <c r="H60" i="6"/>
  <c r="H384" i="6"/>
  <c r="H61" i="6"/>
  <c r="H293" i="6"/>
  <c r="H435" i="6"/>
  <c r="H20" i="6"/>
  <c r="H534" i="6"/>
  <c r="H62" i="6"/>
  <c r="H161" i="6"/>
  <c r="H63" i="6"/>
  <c r="H535" i="6"/>
  <c r="H436" i="6"/>
  <c r="H294" i="6"/>
  <c r="H21" i="6"/>
  <c r="H343" i="6"/>
  <c r="H344" i="6"/>
  <c r="H536" i="6"/>
  <c r="H109" i="6"/>
  <c r="H437" i="6"/>
  <c r="H345" i="6"/>
  <c r="H110" i="6"/>
  <c r="H199" i="6"/>
  <c r="H295" i="6"/>
  <c r="H22" i="6"/>
  <c r="H64" i="6"/>
  <c r="H438" i="6"/>
  <c r="H111" i="6"/>
  <c r="H385" i="6"/>
  <c r="H484" i="6"/>
  <c r="H200" i="6"/>
  <c r="H65" i="6"/>
  <c r="H162" i="6"/>
  <c r="H112" i="6"/>
  <c r="H113" i="6"/>
  <c r="H485" i="6"/>
  <c r="H296" i="6"/>
  <c r="H439" i="6"/>
  <c r="H23" i="6"/>
  <c r="H297" i="6"/>
  <c r="H386" i="6"/>
  <c r="H298" i="6"/>
  <c r="H24" i="6"/>
  <c r="H387" i="6"/>
  <c r="H299" i="6"/>
  <c r="H486" i="6"/>
  <c r="H114" i="6"/>
  <c r="H66" i="6"/>
  <c r="H67" i="6"/>
  <c r="H115" i="6"/>
  <c r="H300" i="6"/>
  <c r="H537" i="6"/>
  <c r="H68" i="6"/>
  <c r="H301" i="6"/>
  <c r="H201" i="6"/>
  <c r="H538" i="6"/>
  <c r="H539" i="6"/>
  <c r="H25" i="6"/>
  <c r="H388" i="6"/>
  <c r="H202" i="6"/>
  <c r="H26" i="6"/>
  <c r="H540" i="6"/>
  <c r="H541" i="6"/>
  <c r="H440" i="6"/>
  <c r="H69" i="6"/>
  <c r="H116" i="6"/>
  <c r="H302" i="6"/>
  <c r="H346" i="6"/>
  <c r="H347" i="6"/>
  <c r="H117" i="6"/>
  <c r="H163" i="6"/>
  <c r="H164" i="6"/>
  <c r="H389" i="6"/>
  <c r="H487" i="6"/>
  <c r="H165" i="6"/>
  <c r="H249" i="6"/>
  <c r="H166" i="6"/>
  <c r="H348" i="6"/>
  <c r="H118" i="6"/>
  <c r="H250" i="6"/>
  <c r="H542" i="6"/>
  <c r="H390" i="6"/>
  <c r="H27" i="6"/>
  <c r="H203" i="6"/>
  <c r="H119" i="6"/>
  <c r="H303" i="6"/>
  <c r="H391" i="6"/>
  <c r="H167" i="6"/>
  <c r="H168" i="6"/>
  <c r="H251" i="6"/>
  <c r="H28" i="6"/>
  <c r="H204" i="6"/>
  <c r="H441" i="6"/>
  <c r="H349" i="6"/>
  <c r="H70" i="6"/>
  <c r="H120" i="6"/>
  <c r="H71" i="6"/>
  <c r="H543" i="6"/>
  <c r="H205" i="6"/>
  <c r="H392" i="6"/>
  <c r="H393" i="6"/>
  <c r="H394" i="6"/>
  <c r="H442" i="6"/>
  <c r="H304" i="6"/>
  <c r="H544" i="6"/>
  <c r="H488" i="6"/>
  <c r="H121" i="6"/>
  <c r="H72" i="6"/>
  <c r="H29" i="6"/>
  <c r="H73" i="6"/>
  <c r="H395" i="6"/>
  <c r="H545" i="6"/>
  <c r="H546" i="6"/>
  <c r="H252" i="6"/>
  <c r="H547" i="6"/>
  <c r="H30" i="6"/>
  <c r="H350" i="6"/>
  <c r="H169" i="6"/>
  <c r="H443" i="6"/>
  <c r="H489" i="6"/>
  <c r="H206" i="6"/>
  <c r="H396" i="6"/>
  <c r="H122" i="6"/>
  <c r="H74" i="6"/>
  <c r="H123" i="6"/>
  <c r="H170" i="6"/>
  <c r="H171" i="6"/>
  <c r="H172" i="6"/>
  <c r="H444" i="6"/>
  <c r="H31" i="6"/>
  <c r="H32" i="6"/>
  <c r="H33" i="6"/>
  <c r="H397" i="6"/>
  <c r="H75" i="6"/>
  <c r="H445" i="6"/>
  <c r="H446" i="6"/>
  <c r="H253" i="6"/>
  <c r="H490" i="6"/>
  <c r="H491" i="6"/>
  <c r="H76" i="6"/>
  <c r="H77" i="6"/>
  <c r="H124" i="6"/>
  <c r="H305" i="6"/>
  <c r="H207" i="6"/>
  <c r="H254" i="6"/>
  <c r="H548" i="6"/>
  <c r="H173" i="6"/>
  <c r="H351" i="6"/>
  <c r="H125" i="6"/>
  <c r="H549" i="6"/>
  <c r="H398" i="6"/>
  <c r="H447" i="6"/>
  <c r="H550" i="6"/>
  <c r="H492" i="6"/>
  <c r="H78" i="6"/>
  <c r="H399" i="6"/>
  <c r="H551" i="6"/>
  <c r="H208" i="6"/>
  <c r="H552" i="6"/>
  <c r="H79" i="6"/>
  <c r="H448" i="6"/>
  <c r="H352" i="6"/>
  <c r="H353" i="6"/>
  <c r="H306" i="6"/>
  <c r="H553" i="6"/>
  <c r="H209" i="6"/>
  <c r="H174" i="6"/>
  <c r="H80" i="6"/>
  <c r="H554" i="6"/>
  <c r="H175" i="6"/>
  <c r="H126" i="6"/>
  <c r="H555" i="6"/>
  <c r="H354" i="6"/>
  <c r="H400" i="6"/>
  <c r="H556" i="6"/>
  <c r="H210" i="6"/>
  <c r="H176" i="6"/>
  <c r="H449" i="6"/>
  <c r="H34" i="6"/>
  <c r="H127" i="6"/>
  <c r="H401" i="6"/>
  <c r="H177" i="6"/>
  <c r="G178" i="6"/>
  <c r="I178" i="6"/>
  <c r="I450" i="6"/>
  <c r="I451" i="6"/>
  <c r="I179" i="6"/>
  <c r="I402" i="6"/>
  <c r="I255" i="6"/>
  <c r="I128" i="6"/>
  <c r="I493" i="6"/>
  <c r="I180" i="6"/>
  <c r="I211" i="6"/>
  <c r="I494" i="6"/>
  <c r="I256" i="6"/>
  <c r="I81" i="6"/>
  <c r="I257" i="6"/>
  <c r="I495" i="6"/>
  <c r="I82" i="6"/>
  <c r="I83" i="6"/>
  <c r="I258" i="6"/>
  <c r="I355" i="6"/>
  <c r="I403" i="6"/>
  <c r="I259" i="6"/>
  <c r="I307" i="6"/>
  <c r="I496" i="6"/>
  <c r="I35" i="6"/>
  <c r="I2" i="6"/>
  <c r="I212" i="6"/>
  <c r="I308" i="6"/>
  <c r="I36" i="6"/>
  <c r="I356" i="6"/>
  <c r="I497" i="6"/>
  <c r="I404" i="6"/>
  <c r="I357" i="6"/>
  <c r="I181" i="6"/>
  <c r="I405" i="6"/>
  <c r="I3" i="6"/>
  <c r="I358" i="6"/>
  <c r="I129" i="6"/>
  <c r="I498" i="6"/>
  <c r="I37" i="6"/>
  <c r="I130" i="6"/>
  <c r="I182" i="6"/>
  <c r="I309" i="6"/>
  <c r="I499" i="6"/>
  <c r="I310" i="6"/>
  <c r="I500" i="6"/>
  <c r="I260" i="6"/>
  <c r="I4" i="6"/>
  <c r="I5" i="6"/>
  <c r="I311" i="6"/>
  <c r="I406" i="6"/>
  <c r="I501" i="6"/>
  <c r="I359" i="6"/>
  <c r="I360" i="6"/>
  <c r="I261" i="6"/>
  <c r="I131" i="6"/>
  <c r="I84" i="6"/>
  <c r="I312" i="6"/>
  <c r="I183" i="6"/>
  <c r="I213" i="6"/>
  <c r="I313" i="6"/>
  <c r="I502" i="6"/>
  <c r="I6" i="6"/>
  <c r="I7" i="6"/>
  <c r="I85" i="6"/>
  <c r="I262" i="6"/>
  <c r="I452" i="6"/>
  <c r="I132" i="6"/>
  <c r="I86" i="6"/>
  <c r="I314" i="6"/>
  <c r="I133" i="6"/>
  <c r="I407" i="6"/>
  <c r="I361" i="6"/>
  <c r="I263" i="6"/>
  <c r="I214" i="6"/>
  <c r="I215" i="6"/>
  <c r="I184" i="6"/>
  <c r="I134" i="6"/>
  <c r="I362" i="6"/>
  <c r="I453" i="6"/>
  <c r="I135" i="6"/>
  <c r="I216" i="6"/>
  <c r="I503" i="6"/>
  <c r="I38" i="6"/>
  <c r="I315" i="6"/>
  <c r="I363" i="6"/>
  <c r="I217" i="6"/>
  <c r="I218" i="6"/>
  <c r="I316" i="6"/>
  <c r="I504" i="6"/>
  <c r="I505" i="6"/>
  <c r="I454" i="6"/>
  <c r="I87" i="6"/>
  <c r="I185" i="6"/>
  <c r="I408" i="6"/>
  <c r="I219" i="6"/>
  <c r="I364" i="6"/>
  <c r="I365" i="6"/>
  <c r="I506" i="6"/>
  <c r="I39" i="6"/>
  <c r="I40" i="6"/>
  <c r="I41" i="6"/>
  <c r="I317" i="6"/>
  <c r="I455" i="6"/>
  <c r="I88" i="6"/>
  <c r="I136" i="6"/>
  <c r="I366" i="6"/>
  <c r="I318" i="6"/>
  <c r="I89" i="6"/>
  <c r="I137" i="6"/>
  <c r="I264" i="6"/>
  <c r="I265" i="6"/>
  <c r="I8" i="6"/>
  <c r="I42" i="6"/>
  <c r="I456" i="6"/>
  <c r="I138" i="6"/>
  <c r="I367" i="6"/>
  <c r="I507" i="6"/>
  <c r="I319" i="6"/>
  <c r="I457" i="6"/>
  <c r="I458" i="6"/>
  <c r="I320" i="6"/>
  <c r="I90" i="6"/>
  <c r="I266" i="6"/>
  <c r="I508" i="6"/>
  <c r="I459" i="6"/>
  <c r="I91" i="6"/>
  <c r="I509" i="6"/>
  <c r="I9" i="6"/>
  <c r="I409" i="6"/>
  <c r="I410" i="6"/>
  <c r="I321" i="6"/>
  <c r="I43" i="6"/>
  <c r="I368" i="6"/>
  <c r="I92" i="6"/>
  <c r="I411" i="6"/>
  <c r="I220" i="6"/>
  <c r="I267" i="6"/>
  <c r="I186" i="6"/>
  <c r="I460" i="6"/>
  <c r="I461" i="6"/>
  <c r="I369" i="6"/>
  <c r="I370" i="6"/>
  <c r="I221" i="6"/>
  <c r="I222" i="6"/>
  <c r="I268" i="6"/>
  <c r="I269" i="6"/>
  <c r="I93" i="6"/>
  <c r="I94" i="6"/>
  <c r="I95" i="6"/>
  <c r="I10" i="6"/>
  <c r="I96" i="6"/>
  <c r="I322" i="6"/>
  <c r="I510" i="6"/>
  <c r="I187" i="6"/>
  <c r="I223" i="6"/>
  <c r="I371" i="6"/>
  <c r="I224" i="6"/>
  <c r="I139" i="6"/>
  <c r="I372" i="6"/>
  <c r="I462" i="6"/>
  <c r="I511" i="6"/>
  <c r="I44" i="6"/>
  <c r="I225" i="6"/>
  <c r="I45" i="6"/>
  <c r="I463" i="6"/>
  <c r="I412" i="6"/>
  <c r="I413" i="6"/>
  <c r="I464" i="6"/>
  <c r="I373" i="6"/>
  <c r="I270" i="6"/>
  <c r="I465" i="6"/>
  <c r="I323" i="6"/>
  <c r="I324" i="6"/>
  <c r="I140" i="6"/>
  <c r="I466" i="6"/>
  <c r="I141" i="6"/>
  <c r="I325" i="6"/>
  <c r="I226" i="6"/>
  <c r="I97" i="6"/>
  <c r="I271" i="6"/>
  <c r="I414" i="6"/>
  <c r="I467" i="6"/>
  <c r="I374" i="6"/>
  <c r="I227" i="6"/>
  <c r="I468" i="6"/>
  <c r="I512" i="6"/>
  <c r="I415" i="6"/>
  <c r="I416" i="6"/>
  <c r="I142" i="6"/>
  <c r="I469" i="6"/>
  <c r="I417" i="6"/>
  <c r="I11" i="6"/>
  <c r="I143" i="6"/>
  <c r="I470" i="6"/>
  <c r="I98" i="6"/>
  <c r="I228" i="6"/>
  <c r="I418" i="6"/>
  <c r="I375" i="6"/>
  <c r="I229" i="6"/>
  <c r="I230" i="6"/>
  <c r="I326" i="6"/>
  <c r="I327" i="6"/>
  <c r="I188" i="6"/>
  <c r="I231" i="6"/>
  <c r="I471" i="6"/>
  <c r="I419" i="6"/>
  <c r="I420" i="6"/>
  <c r="I99" i="6"/>
  <c r="I421" i="6"/>
  <c r="I189" i="6"/>
  <c r="I272" i="6"/>
  <c r="I144" i="6"/>
  <c r="I12" i="6"/>
  <c r="I100" i="6"/>
  <c r="I46" i="6"/>
  <c r="I513" i="6"/>
  <c r="I328" i="6"/>
  <c r="I422" i="6"/>
  <c r="I329" i="6"/>
  <c r="I145" i="6"/>
  <c r="I146" i="6"/>
  <c r="I273" i="6"/>
  <c r="I190" i="6"/>
  <c r="I232" i="6"/>
  <c r="I191" i="6"/>
  <c r="I147" i="6"/>
  <c r="I423" i="6"/>
  <c r="I472" i="6"/>
  <c r="I330" i="6"/>
  <c r="I148" i="6"/>
  <c r="I514" i="6"/>
  <c r="I13" i="6"/>
  <c r="I47" i="6"/>
  <c r="I233" i="6"/>
  <c r="I274" i="6"/>
  <c r="I376" i="6"/>
  <c r="I48" i="6"/>
  <c r="I234" i="6"/>
  <c r="I275" i="6"/>
  <c r="I473" i="6"/>
  <c r="I49" i="6"/>
  <c r="I474" i="6"/>
  <c r="I276" i="6"/>
  <c r="I50" i="6"/>
  <c r="I277" i="6"/>
  <c r="I278" i="6"/>
  <c r="I149" i="6"/>
  <c r="I515" i="6"/>
  <c r="I516" i="6"/>
  <c r="I517" i="6"/>
  <c r="I14" i="6"/>
  <c r="I518" i="6"/>
  <c r="I235" i="6"/>
  <c r="I150" i="6"/>
  <c r="I236" i="6"/>
  <c r="I151" i="6"/>
  <c r="I475" i="6"/>
  <c r="I279" i="6"/>
  <c r="I280" i="6"/>
  <c r="I51" i="6"/>
  <c r="I424" i="6"/>
  <c r="I15" i="6"/>
  <c r="I425" i="6"/>
  <c r="I426" i="6"/>
  <c r="I152" i="6"/>
  <c r="I476" i="6"/>
  <c r="I427" i="6"/>
  <c r="I331" i="6"/>
  <c r="I428" i="6"/>
  <c r="I52" i="6"/>
  <c r="I237" i="6"/>
  <c r="I238" i="6"/>
  <c r="I332" i="6"/>
  <c r="I519" i="6"/>
  <c r="I520" i="6"/>
  <c r="I101" i="6"/>
  <c r="I102" i="6"/>
  <c r="I103" i="6"/>
  <c r="I153" i="6"/>
  <c r="I281" i="6"/>
  <c r="I154" i="6"/>
  <c r="I192" i="6"/>
  <c r="I521" i="6"/>
  <c r="I477" i="6"/>
  <c r="I53" i="6"/>
  <c r="I478" i="6"/>
  <c r="I54" i="6"/>
  <c r="I16" i="6"/>
  <c r="I155" i="6"/>
  <c r="I282" i="6"/>
  <c r="I377" i="6"/>
  <c r="I283" i="6"/>
  <c r="I284" i="6"/>
  <c r="I193" i="6"/>
  <c r="I479" i="6"/>
  <c r="I522" i="6"/>
  <c r="I378" i="6"/>
  <c r="I480" i="6"/>
  <c r="I194" i="6"/>
  <c r="I104" i="6"/>
  <c r="I523" i="6"/>
  <c r="I429" i="6"/>
  <c r="I17" i="6"/>
  <c r="I285" i="6"/>
  <c r="I333" i="6"/>
  <c r="I239" i="6"/>
  <c r="I55" i="6"/>
  <c r="I18" i="6"/>
  <c r="I240" i="6"/>
  <c r="I241" i="6"/>
  <c r="I334" i="6"/>
  <c r="I242" i="6"/>
  <c r="I19" i="6"/>
  <c r="I379" i="6"/>
  <c r="I524" i="6"/>
  <c r="I286" i="6"/>
  <c r="I287" i="6"/>
  <c r="I105" i="6"/>
  <c r="I243" i="6"/>
  <c r="I481" i="6"/>
  <c r="I335" i="6"/>
  <c r="I195" i="6"/>
  <c r="I288" i="6"/>
  <c r="I289" i="6"/>
  <c r="I336" i="6"/>
  <c r="I525" i="6"/>
  <c r="I526" i="6"/>
  <c r="I527" i="6"/>
  <c r="I156" i="6"/>
  <c r="I337" i="6"/>
  <c r="I528" i="6"/>
  <c r="I157" i="6"/>
  <c r="I106" i="6"/>
  <c r="I430" i="6"/>
  <c r="I338" i="6"/>
  <c r="I339" i="6"/>
  <c r="I529" i="6"/>
  <c r="I196" i="6"/>
  <c r="I290" i="6"/>
  <c r="I530" i="6"/>
  <c r="I56" i="6"/>
  <c r="I158" i="6"/>
  <c r="I244" i="6"/>
  <c r="I431" i="6"/>
  <c r="I245" i="6"/>
  <c r="I482" i="6"/>
  <c r="I380" i="6"/>
  <c r="I381" i="6"/>
  <c r="I159" i="6"/>
  <c r="I531" i="6"/>
  <c r="I57" i="6"/>
  <c r="I246" i="6"/>
  <c r="I340" i="6"/>
  <c r="I432" i="6"/>
  <c r="I291" i="6"/>
  <c r="I107" i="6"/>
  <c r="I197" i="6"/>
  <c r="I58" i="6"/>
  <c r="I59" i="6"/>
  <c r="I160" i="6"/>
  <c r="I382" i="6"/>
  <c r="I292" i="6"/>
  <c r="I433" i="6"/>
  <c r="I247" i="6"/>
  <c r="I532" i="6"/>
  <c r="I108" i="6"/>
  <c r="I341" i="6"/>
  <c r="I483" i="6"/>
  <c r="I342" i="6"/>
  <c r="I383" i="6"/>
  <c r="I434" i="6"/>
  <c r="I533" i="6"/>
  <c r="I198" i="6"/>
  <c r="I248" i="6"/>
  <c r="I60" i="6"/>
  <c r="I384" i="6"/>
  <c r="I61" i="6"/>
  <c r="I293" i="6"/>
  <c r="I435" i="6"/>
  <c r="I20" i="6"/>
  <c r="I534" i="6"/>
  <c r="I62" i="6"/>
  <c r="I161" i="6"/>
  <c r="I63" i="6"/>
  <c r="I535" i="6"/>
  <c r="I436" i="6"/>
  <c r="I294" i="6"/>
  <c r="I21" i="6"/>
  <c r="I343" i="6"/>
  <c r="I344" i="6"/>
  <c r="I536" i="6"/>
  <c r="I109" i="6"/>
  <c r="I437" i="6"/>
  <c r="I345" i="6"/>
  <c r="I110" i="6"/>
  <c r="I199" i="6"/>
  <c r="I295" i="6"/>
  <c r="I22" i="6"/>
  <c r="I64" i="6"/>
  <c r="I438" i="6"/>
  <c r="I111" i="6"/>
  <c r="I385" i="6"/>
  <c r="I484" i="6"/>
  <c r="I200" i="6"/>
  <c r="I65" i="6"/>
  <c r="I162" i="6"/>
  <c r="I112" i="6"/>
  <c r="I113" i="6"/>
  <c r="I485" i="6"/>
  <c r="I296" i="6"/>
  <c r="I439" i="6"/>
  <c r="I23" i="6"/>
  <c r="I297" i="6"/>
  <c r="I386" i="6"/>
  <c r="I298" i="6"/>
  <c r="I24" i="6"/>
  <c r="I387" i="6"/>
  <c r="I299" i="6"/>
  <c r="I486" i="6"/>
  <c r="I114" i="6"/>
  <c r="I66" i="6"/>
  <c r="I67" i="6"/>
  <c r="I115" i="6"/>
  <c r="I300" i="6"/>
  <c r="I537" i="6"/>
  <c r="I68" i="6"/>
  <c r="I301" i="6"/>
  <c r="I201" i="6"/>
  <c r="I538" i="6"/>
  <c r="I539" i="6"/>
  <c r="I25" i="6"/>
  <c r="I388" i="6"/>
  <c r="I202" i="6"/>
  <c r="I26" i="6"/>
  <c r="I540" i="6"/>
  <c r="I541" i="6"/>
  <c r="I440" i="6"/>
  <c r="I69" i="6"/>
  <c r="I116" i="6"/>
  <c r="I302" i="6"/>
  <c r="I346" i="6"/>
  <c r="I347" i="6"/>
  <c r="I117" i="6"/>
  <c r="I163" i="6"/>
  <c r="I164" i="6"/>
  <c r="I389" i="6"/>
  <c r="I487" i="6"/>
  <c r="I165" i="6"/>
  <c r="I249" i="6"/>
  <c r="I166" i="6"/>
  <c r="I348" i="6"/>
  <c r="I118" i="6"/>
  <c r="I250" i="6"/>
  <c r="I542" i="6"/>
  <c r="I390" i="6"/>
  <c r="I27" i="6"/>
  <c r="I203" i="6"/>
  <c r="I119" i="6"/>
  <c r="I303" i="6"/>
  <c r="I391" i="6"/>
  <c r="I167" i="6"/>
  <c r="I168" i="6"/>
  <c r="I251" i="6"/>
  <c r="I28" i="6"/>
  <c r="I204" i="6"/>
  <c r="I441" i="6"/>
  <c r="I349" i="6"/>
  <c r="I70" i="6"/>
  <c r="I120" i="6"/>
  <c r="I71" i="6"/>
  <c r="I543" i="6"/>
  <c r="I205" i="6"/>
  <c r="I392" i="6"/>
  <c r="I393" i="6"/>
  <c r="I394" i="6"/>
  <c r="I442" i="6"/>
  <c r="I304" i="6"/>
  <c r="I544" i="6"/>
  <c r="I488" i="6"/>
  <c r="I121" i="6"/>
  <c r="I72" i="6"/>
  <c r="I29" i="6"/>
  <c r="I73" i="6"/>
  <c r="I395" i="6"/>
  <c r="I545" i="6"/>
  <c r="I546" i="6"/>
  <c r="I252" i="6"/>
  <c r="I547" i="6"/>
  <c r="I30" i="6"/>
  <c r="I350" i="6"/>
  <c r="I169" i="6"/>
  <c r="I443" i="6"/>
  <c r="I489" i="6"/>
  <c r="I206" i="6"/>
  <c r="I396" i="6"/>
  <c r="I122" i="6"/>
  <c r="I74" i="6"/>
  <c r="I123" i="6"/>
  <c r="I170" i="6"/>
  <c r="I171" i="6"/>
  <c r="I172" i="6"/>
  <c r="I444" i="6"/>
  <c r="I31" i="6"/>
  <c r="I32" i="6"/>
  <c r="I33" i="6"/>
  <c r="I397" i="6"/>
  <c r="I75" i="6"/>
  <c r="I445" i="6"/>
  <c r="I446" i="6"/>
  <c r="I253" i="6"/>
  <c r="I490" i="6"/>
  <c r="I491" i="6"/>
  <c r="I76" i="6"/>
  <c r="I77" i="6"/>
  <c r="I124" i="6"/>
  <c r="I305" i="6"/>
  <c r="I207" i="6"/>
  <c r="I254" i="6"/>
  <c r="I548" i="6"/>
  <c r="I173" i="6"/>
  <c r="I351" i="6"/>
  <c r="I125" i="6"/>
  <c r="I549" i="6"/>
  <c r="I398" i="6"/>
  <c r="I447" i="6"/>
  <c r="I550" i="6"/>
  <c r="I492" i="6"/>
  <c r="I78" i="6"/>
  <c r="I399" i="6"/>
  <c r="I551" i="6"/>
  <c r="I208" i="6"/>
  <c r="I552" i="6"/>
  <c r="I79" i="6"/>
  <c r="I448" i="6"/>
  <c r="I352" i="6"/>
  <c r="I353" i="6"/>
  <c r="I306" i="6"/>
  <c r="I553" i="6"/>
  <c r="I209" i="6"/>
  <c r="I174" i="6"/>
  <c r="I80" i="6"/>
  <c r="I554" i="6"/>
  <c r="I175" i="6"/>
  <c r="I126" i="6"/>
  <c r="I555" i="6"/>
  <c r="I354" i="6"/>
  <c r="I400" i="6"/>
  <c r="I556" i="6"/>
  <c r="I210" i="6"/>
  <c r="I176" i="6"/>
  <c r="I449" i="6"/>
  <c r="I34" i="6"/>
  <c r="I127" i="6"/>
  <c r="I401" i="6"/>
  <c r="I177" i="6"/>
  <c r="G180" i="6"/>
  <c r="G451" i="6"/>
  <c r="G179" i="6"/>
  <c r="G402" i="6"/>
  <c r="G255" i="6"/>
  <c r="G128" i="6"/>
  <c r="G493" i="6"/>
  <c r="G211" i="6"/>
  <c r="G494" i="6"/>
  <c r="G256" i="6"/>
  <c r="G81" i="6"/>
  <c r="G257" i="6"/>
  <c r="G495" i="6"/>
  <c r="G82" i="6"/>
  <c r="G83" i="6"/>
  <c r="G258" i="6"/>
  <c r="G355" i="6"/>
  <c r="G403" i="6"/>
  <c r="G259" i="6"/>
  <c r="G307" i="6"/>
  <c r="G496" i="6"/>
  <c r="G35" i="6"/>
  <c r="G2" i="6"/>
  <c r="G212" i="6"/>
  <c r="G308" i="6"/>
  <c r="G36" i="6"/>
  <c r="G356" i="6"/>
  <c r="G497" i="6"/>
  <c r="G404" i="6"/>
  <c r="G357" i="6"/>
  <c r="G181" i="6"/>
  <c r="G405" i="6"/>
  <c r="G3" i="6"/>
  <c r="G358" i="6"/>
  <c r="G129" i="6"/>
  <c r="G498" i="6"/>
  <c r="G37" i="6"/>
  <c r="G130" i="6"/>
  <c r="G182" i="6"/>
  <c r="G309" i="6"/>
  <c r="G499" i="6"/>
  <c r="G310" i="6"/>
  <c r="G500" i="6"/>
  <c r="G260" i="6"/>
  <c r="G4" i="6"/>
  <c r="G5" i="6"/>
  <c r="G311" i="6"/>
  <c r="G406" i="6"/>
  <c r="G501" i="6"/>
  <c r="G359" i="6"/>
  <c r="G360" i="6"/>
  <c r="G261" i="6"/>
  <c r="G131" i="6"/>
  <c r="G84" i="6"/>
  <c r="G312" i="6"/>
  <c r="G183" i="6"/>
  <c r="G213" i="6"/>
  <c r="G313" i="6"/>
  <c r="G502" i="6"/>
  <c r="G6" i="6"/>
  <c r="G7" i="6"/>
  <c r="G85" i="6"/>
  <c r="G262" i="6"/>
  <c r="G452" i="6"/>
  <c r="G132" i="6"/>
  <c r="G86" i="6"/>
  <c r="G314" i="6"/>
  <c r="G133" i="6"/>
  <c r="G407" i="6"/>
  <c r="G361" i="6"/>
  <c r="G263" i="6"/>
  <c r="G214" i="6"/>
  <c r="G215" i="6"/>
  <c r="G184" i="6"/>
  <c r="G134" i="6"/>
  <c r="G362" i="6"/>
  <c r="G453" i="6"/>
  <c r="G135" i="6"/>
  <c r="G216" i="6"/>
  <c r="G503" i="6"/>
  <c r="G38" i="6"/>
  <c r="G315" i="6"/>
  <c r="G363" i="6"/>
  <c r="G217" i="6"/>
  <c r="G218" i="6"/>
  <c r="G316" i="6"/>
  <c r="G504" i="6"/>
  <c r="G505" i="6"/>
  <c r="G454" i="6"/>
  <c r="G87" i="6"/>
  <c r="G185" i="6"/>
  <c r="G408" i="6"/>
  <c r="G219" i="6"/>
  <c r="G364" i="6"/>
  <c r="G365" i="6"/>
  <c r="G506" i="6"/>
  <c r="G39" i="6"/>
  <c r="G40" i="6"/>
  <c r="G41" i="6"/>
  <c r="G317" i="6"/>
  <c r="G455" i="6"/>
  <c r="G88" i="6"/>
  <c r="G136" i="6"/>
  <c r="G366" i="6"/>
  <c r="G318" i="6"/>
  <c r="G89" i="6"/>
  <c r="G137" i="6"/>
  <c r="G264" i="6"/>
  <c r="G265" i="6"/>
  <c r="G8" i="6"/>
  <c r="G42" i="6"/>
  <c r="G456" i="6"/>
  <c r="G138" i="6"/>
  <c r="G367" i="6"/>
  <c r="G507" i="6"/>
  <c r="G319" i="6"/>
  <c r="G457" i="6"/>
  <c r="G458" i="6"/>
  <c r="G320" i="6"/>
  <c r="G90" i="6"/>
  <c r="G266" i="6"/>
  <c r="G508" i="6"/>
  <c r="G459" i="6"/>
  <c r="G91" i="6"/>
  <c r="G509" i="6"/>
  <c r="G9" i="6"/>
  <c r="G409" i="6"/>
  <c r="G410" i="6"/>
  <c r="G321" i="6"/>
  <c r="G43" i="6"/>
  <c r="G368" i="6"/>
  <c r="G92" i="6"/>
  <c r="G411" i="6"/>
  <c r="G220" i="6"/>
  <c r="G267" i="6"/>
  <c r="G186" i="6"/>
  <c r="G460" i="6"/>
  <c r="G461" i="6"/>
  <c r="G369" i="6"/>
  <c r="G370" i="6"/>
  <c r="G221" i="6"/>
  <c r="G222" i="6"/>
  <c r="G268" i="6"/>
  <c r="G269" i="6"/>
  <c r="G93" i="6"/>
  <c r="G94" i="6"/>
  <c r="G95" i="6"/>
  <c r="G10" i="6"/>
  <c r="G96" i="6"/>
  <c r="G322" i="6"/>
  <c r="G510" i="6"/>
  <c r="G187" i="6"/>
  <c r="G223" i="6"/>
  <c r="G371" i="6"/>
  <c r="G224" i="6"/>
  <c r="G139" i="6"/>
  <c r="G372" i="6"/>
  <c r="G462" i="6"/>
  <c r="G511" i="6"/>
  <c r="G44" i="6"/>
  <c r="G225" i="6"/>
  <c r="G45" i="6"/>
  <c r="G463" i="6"/>
  <c r="G412" i="6"/>
  <c r="G413" i="6"/>
  <c r="G464" i="6"/>
  <c r="G373" i="6"/>
  <c r="G270" i="6"/>
  <c r="G465" i="6"/>
  <c r="G323" i="6"/>
  <c r="G324" i="6"/>
  <c r="G140" i="6"/>
  <c r="G466" i="6"/>
  <c r="G141" i="6"/>
  <c r="G325" i="6"/>
  <c r="G226" i="6"/>
  <c r="G97" i="6"/>
  <c r="G271" i="6"/>
  <c r="G414" i="6"/>
  <c r="G467" i="6"/>
  <c r="G374" i="6"/>
  <c r="G227" i="6"/>
  <c r="G468" i="6"/>
  <c r="G512" i="6"/>
  <c r="G415" i="6"/>
  <c r="G416" i="6"/>
  <c r="G142" i="6"/>
  <c r="G469" i="6"/>
  <c r="G417" i="6"/>
  <c r="G11" i="6"/>
  <c r="G143" i="6"/>
  <c r="G470" i="6"/>
  <c r="G98" i="6"/>
  <c r="G228" i="6"/>
  <c r="G418" i="6"/>
  <c r="G375" i="6"/>
  <c r="G229" i="6"/>
  <c r="G230" i="6"/>
  <c r="G326" i="6"/>
  <c r="G327" i="6"/>
  <c r="G188" i="6"/>
  <c r="G231" i="6"/>
  <c r="G471" i="6"/>
  <c r="G419" i="6"/>
  <c r="G420" i="6"/>
  <c r="G99" i="6"/>
  <c r="G421" i="6"/>
  <c r="G189" i="6"/>
  <c r="G272" i="6"/>
  <c r="G144" i="6"/>
  <c r="G12" i="6"/>
  <c r="G100" i="6"/>
  <c r="G46" i="6"/>
  <c r="G513" i="6"/>
  <c r="G328" i="6"/>
  <c r="G422" i="6"/>
  <c r="G329" i="6"/>
  <c r="G145" i="6"/>
  <c r="G146" i="6"/>
  <c r="G273" i="6"/>
  <c r="G190" i="6"/>
  <c r="G232" i="6"/>
  <c r="G191" i="6"/>
  <c r="G147" i="6"/>
  <c r="G423" i="6"/>
  <c r="G472" i="6"/>
  <c r="G330" i="6"/>
  <c r="G148" i="6"/>
  <c r="G514" i="6"/>
  <c r="G13" i="6"/>
  <c r="G47" i="6"/>
  <c r="G233" i="6"/>
  <c r="G274" i="6"/>
  <c r="G376" i="6"/>
  <c r="G48" i="6"/>
  <c r="G234" i="6"/>
  <c r="G275" i="6"/>
  <c r="G473" i="6"/>
  <c r="G49" i="6"/>
  <c r="G474" i="6"/>
  <c r="G276" i="6"/>
  <c r="G50" i="6"/>
  <c r="G277" i="6"/>
  <c r="G278" i="6"/>
  <c r="G149" i="6"/>
  <c r="G515" i="6"/>
  <c r="G516" i="6"/>
  <c r="G517" i="6"/>
  <c r="G14" i="6"/>
  <c r="G518" i="6"/>
  <c r="G235" i="6"/>
  <c r="G150" i="6"/>
  <c r="G236" i="6"/>
  <c r="G151" i="6"/>
  <c r="G475" i="6"/>
  <c r="G279" i="6"/>
  <c r="G280" i="6"/>
  <c r="G51" i="6"/>
  <c r="G424" i="6"/>
  <c r="G15" i="6"/>
  <c r="G425" i="6"/>
  <c r="G426" i="6"/>
  <c r="G152" i="6"/>
  <c r="G476" i="6"/>
  <c r="G427" i="6"/>
  <c r="G331" i="6"/>
  <c r="G428" i="6"/>
  <c r="G52" i="6"/>
  <c r="G237" i="6"/>
  <c r="G238" i="6"/>
  <c r="G332" i="6"/>
  <c r="G519" i="6"/>
  <c r="G520" i="6"/>
  <c r="G101" i="6"/>
  <c r="G102" i="6"/>
  <c r="G103" i="6"/>
  <c r="G153" i="6"/>
  <c r="G281" i="6"/>
  <c r="G154" i="6"/>
  <c r="G192" i="6"/>
  <c r="G521" i="6"/>
  <c r="G477" i="6"/>
  <c r="G53" i="6"/>
  <c r="G478" i="6"/>
  <c r="G54" i="6"/>
  <c r="G16" i="6"/>
  <c r="G155" i="6"/>
  <c r="G282" i="6"/>
  <c r="G377" i="6"/>
  <c r="G283" i="6"/>
  <c r="G284" i="6"/>
  <c r="G193" i="6"/>
  <c r="G479" i="6"/>
  <c r="G522" i="6"/>
  <c r="G378" i="6"/>
  <c r="G480" i="6"/>
  <c r="G194" i="6"/>
  <c r="G104" i="6"/>
  <c r="G523" i="6"/>
  <c r="G429" i="6"/>
  <c r="G17" i="6"/>
  <c r="G285" i="6"/>
  <c r="G333" i="6"/>
  <c r="G239" i="6"/>
  <c r="G55" i="6"/>
  <c r="G18" i="6"/>
  <c r="G240" i="6"/>
  <c r="G241" i="6"/>
  <c r="G334" i="6"/>
  <c r="G242" i="6"/>
  <c r="G19" i="6"/>
  <c r="G379" i="6"/>
  <c r="G524" i="6"/>
  <c r="G286" i="6"/>
  <c r="G287" i="6"/>
  <c r="G105" i="6"/>
  <c r="G243" i="6"/>
  <c r="G481" i="6"/>
  <c r="G335" i="6"/>
  <c r="G195" i="6"/>
  <c r="G288" i="6"/>
  <c r="G289" i="6"/>
  <c r="G336" i="6"/>
  <c r="G525" i="6"/>
  <c r="G526" i="6"/>
  <c r="G527" i="6"/>
  <c r="G156" i="6"/>
  <c r="G337" i="6"/>
  <c r="G528" i="6"/>
  <c r="G157" i="6"/>
  <c r="G106" i="6"/>
  <c r="G430" i="6"/>
  <c r="G338" i="6"/>
  <c r="G339" i="6"/>
  <c r="G529" i="6"/>
  <c r="G196" i="6"/>
  <c r="G290" i="6"/>
  <c r="G530" i="6"/>
  <c r="G56" i="6"/>
  <c r="G158" i="6"/>
  <c r="G244" i="6"/>
  <c r="G431" i="6"/>
  <c r="G245" i="6"/>
  <c r="G482" i="6"/>
  <c r="G380" i="6"/>
  <c r="G381" i="6"/>
  <c r="G159" i="6"/>
  <c r="G531" i="6"/>
  <c r="G57" i="6"/>
  <c r="G246" i="6"/>
  <c r="G340" i="6"/>
  <c r="G432" i="6"/>
  <c r="G291" i="6"/>
  <c r="G107" i="6"/>
  <c r="G197" i="6"/>
  <c r="G58" i="6"/>
  <c r="G59" i="6"/>
  <c r="G160" i="6"/>
  <c r="G382" i="6"/>
  <c r="G292" i="6"/>
  <c r="G433" i="6"/>
  <c r="G247" i="6"/>
  <c r="G532" i="6"/>
  <c r="G108" i="6"/>
  <c r="G341" i="6"/>
  <c r="G483" i="6"/>
  <c r="G342" i="6"/>
  <c r="G383" i="6"/>
  <c r="G434" i="6"/>
  <c r="G533" i="6"/>
  <c r="G198" i="6"/>
  <c r="G248" i="6"/>
  <c r="G60" i="6"/>
  <c r="G384" i="6"/>
  <c r="G61" i="6"/>
  <c r="G293" i="6"/>
  <c r="G435" i="6"/>
  <c r="G20" i="6"/>
  <c r="G534" i="6"/>
  <c r="G62" i="6"/>
  <c r="G161" i="6"/>
  <c r="G63" i="6"/>
  <c r="G535" i="6"/>
  <c r="G436" i="6"/>
  <c r="G294" i="6"/>
  <c r="G21" i="6"/>
  <c r="G343" i="6"/>
  <c r="G344" i="6"/>
  <c r="G536" i="6"/>
  <c r="G109" i="6"/>
  <c r="G437" i="6"/>
  <c r="G345" i="6"/>
  <c r="G110" i="6"/>
  <c r="G199" i="6"/>
  <c r="G295" i="6"/>
  <c r="G22" i="6"/>
  <c r="G64" i="6"/>
  <c r="G438" i="6"/>
  <c r="G111" i="6"/>
  <c r="G385" i="6"/>
  <c r="G484" i="6"/>
  <c r="G200" i="6"/>
  <c r="G65" i="6"/>
  <c r="G162" i="6"/>
  <c r="G112" i="6"/>
  <c r="G113" i="6"/>
  <c r="G485" i="6"/>
  <c r="G296" i="6"/>
  <c r="G439" i="6"/>
  <c r="G23" i="6"/>
  <c r="G297" i="6"/>
  <c r="G386" i="6"/>
  <c r="G298" i="6"/>
  <c r="G24" i="6"/>
  <c r="G387" i="6"/>
  <c r="G299" i="6"/>
  <c r="G486" i="6"/>
  <c r="G114" i="6"/>
  <c r="G66" i="6"/>
  <c r="G67" i="6"/>
  <c r="G115" i="6"/>
  <c r="G300" i="6"/>
  <c r="G537" i="6"/>
  <c r="G68" i="6"/>
  <c r="G301" i="6"/>
  <c r="G201" i="6"/>
  <c r="G538" i="6"/>
  <c r="G539" i="6"/>
  <c r="G25" i="6"/>
  <c r="G388" i="6"/>
  <c r="G202" i="6"/>
  <c r="G26" i="6"/>
  <c r="G540" i="6"/>
  <c r="G541" i="6"/>
  <c r="G440" i="6"/>
  <c r="G69" i="6"/>
  <c r="G116" i="6"/>
  <c r="G302" i="6"/>
  <c r="G346" i="6"/>
  <c r="G347" i="6"/>
  <c r="G117" i="6"/>
  <c r="G163" i="6"/>
  <c r="G164" i="6"/>
  <c r="G389" i="6"/>
  <c r="G487" i="6"/>
  <c r="G165" i="6"/>
  <c r="G249" i="6"/>
  <c r="G166" i="6"/>
  <c r="G348" i="6"/>
  <c r="G118" i="6"/>
  <c r="G250" i="6"/>
  <c r="G542" i="6"/>
  <c r="G390" i="6"/>
  <c r="G27" i="6"/>
  <c r="G203" i="6"/>
  <c r="G119" i="6"/>
  <c r="G303" i="6"/>
  <c r="G391" i="6"/>
  <c r="G167" i="6"/>
  <c r="G168" i="6"/>
  <c r="G251" i="6"/>
  <c r="G28" i="6"/>
  <c r="G204" i="6"/>
  <c r="G441" i="6"/>
  <c r="G349" i="6"/>
  <c r="G70" i="6"/>
  <c r="G120" i="6"/>
  <c r="G71" i="6"/>
  <c r="G543" i="6"/>
  <c r="G205" i="6"/>
  <c r="G392" i="6"/>
  <c r="G393" i="6"/>
  <c r="G394" i="6"/>
  <c r="G442" i="6"/>
  <c r="G304" i="6"/>
  <c r="G544" i="6"/>
  <c r="G488" i="6"/>
  <c r="G121" i="6"/>
  <c r="G72" i="6"/>
  <c r="G29" i="6"/>
  <c r="G73" i="6"/>
  <c r="G395" i="6"/>
  <c r="G545" i="6"/>
  <c r="G546" i="6"/>
  <c r="G252" i="6"/>
  <c r="G547" i="6"/>
  <c r="G30" i="6"/>
  <c r="G350" i="6"/>
  <c r="G169" i="6"/>
  <c r="G443" i="6"/>
  <c r="G489" i="6"/>
  <c r="G206" i="6"/>
  <c r="G396" i="6"/>
  <c r="G122" i="6"/>
  <c r="G74" i="6"/>
  <c r="G123" i="6"/>
  <c r="G170" i="6"/>
  <c r="G171" i="6"/>
  <c r="G172" i="6"/>
  <c r="G444" i="6"/>
  <c r="G31" i="6"/>
  <c r="G32" i="6"/>
  <c r="G33" i="6"/>
  <c r="G397" i="6"/>
  <c r="G75" i="6"/>
  <c r="G445" i="6"/>
  <c r="G446" i="6"/>
  <c r="G253" i="6"/>
  <c r="G490" i="6"/>
  <c r="G491" i="6"/>
  <c r="G76" i="6"/>
  <c r="G77" i="6"/>
  <c r="G124" i="6"/>
  <c r="G305" i="6"/>
  <c r="G207" i="6"/>
  <c r="G254" i="6"/>
  <c r="G548" i="6"/>
  <c r="G173" i="6"/>
  <c r="G351" i="6"/>
  <c r="G125" i="6"/>
  <c r="G549" i="6"/>
  <c r="G398" i="6"/>
  <c r="G447" i="6"/>
  <c r="G550" i="6"/>
  <c r="G492" i="6"/>
  <c r="G78" i="6"/>
  <c r="G399" i="6"/>
  <c r="G551" i="6"/>
  <c r="G208" i="6"/>
  <c r="G552" i="6"/>
  <c r="G79" i="6"/>
  <c r="G448" i="6"/>
  <c r="G352" i="6"/>
  <c r="G353" i="6"/>
  <c r="G306" i="6"/>
  <c r="G553" i="6"/>
  <c r="G209" i="6"/>
  <c r="G174" i="6"/>
  <c r="G80" i="6"/>
  <c r="G554" i="6"/>
  <c r="G175" i="6"/>
  <c r="G126" i="6"/>
  <c r="G555" i="6"/>
  <c r="G354" i="6"/>
  <c r="G400" i="6"/>
  <c r="G556" i="6"/>
  <c r="G210" i="6"/>
  <c r="G176" i="6"/>
  <c r="G449" i="6"/>
  <c r="G34" i="6"/>
  <c r="G127" i="6"/>
  <c r="G401" i="6"/>
  <c r="G177" i="6"/>
  <c r="G450" i="6"/>
  <c r="P178" i="6"/>
  <c r="P450" i="6"/>
  <c r="P451" i="6"/>
  <c r="P179" i="6"/>
  <c r="P402" i="6"/>
  <c r="P255" i="6"/>
  <c r="P128" i="6"/>
  <c r="P493" i="6"/>
  <c r="P180" i="6"/>
  <c r="P211" i="6"/>
  <c r="P494" i="6"/>
  <c r="P256" i="6"/>
  <c r="P81" i="6"/>
  <c r="P257" i="6"/>
  <c r="P495" i="6"/>
  <c r="P82" i="6"/>
  <c r="P83" i="6"/>
  <c r="P258" i="6"/>
  <c r="P355" i="6"/>
  <c r="P403" i="6"/>
  <c r="P259" i="6"/>
  <c r="P307" i="6"/>
  <c r="P496" i="6"/>
  <c r="P35" i="6"/>
  <c r="P212" i="6"/>
  <c r="P308" i="6"/>
  <c r="P36" i="6"/>
  <c r="P356" i="6"/>
  <c r="P497" i="6"/>
  <c r="P404" i="6"/>
  <c r="P357" i="6"/>
  <c r="P181" i="6"/>
  <c r="P405" i="6"/>
  <c r="P3" i="6"/>
  <c r="P358" i="6"/>
  <c r="P129" i="6"/>
  <c r="P498" i="6"/>
  <c r="P37" i="6"/>
  <c r="P130" i="6"/>
  <c r="P182" i="6"/>
  <c r="P309" i="6"/>
  <c r="P499" i="6"/>
  <c r="P310" i="6"/>
  <c r="P500" i="6"/>
  <c r="P260" i="6"/>
  <c r="P4" i="6"/>
  <c r="P5" i="6"/>
  <c r="P311" i="6"/>
  <c r="P406" i="6"/>
  <c r="P501" i="6"/>
  <c r="P359" i="6"/>
  <c r="P360" i="6"/>
  <c r="P261" i="6"/>
  <c r="P131" i="6"/>
  <c r="P84" i="6"/>
  <c r="P312" i="6"/>
  <c r="P183" i="6"/>
  <c r="P213" i="6"/>
  <c r="P313" i="6"/>
  <c r="P502" i="6"/>
  <c r="P6" i="6"/>
  <c r="P7" i="6"/>
  <c r="P85" i="6"/>
  <c r="P262" i="6"/>
  <c r="P452" i="6"/>
  <c r="P132" i="6"/>
  <c r="P86" i="6"/>
  <c r="P314" i="6"/>
  <c r="P133" i="6"/>
  <c r="P407" i="6"/>
  <c r="P361" i="6"/>
  <c r="P263" i="6"/>
  <c r="P214" i="6"/>
  <c r="P215" i="6"/>
  <c r="P184" i="6"/>
  <c r="P134" i="6"/>
  <c r="P362" i="6"/>
  <c r="P453" i="6"/>
  <c r="P135" i="6"/>
  <c r="P216" i="6"/>
  <c r="P503" i="6"/>
  <c r="P38" i="6"/>
  <c r="P315" i="6"/>
  <c r="P363" i="6"/>
  <c r="P217" i="6"/>
  <c r="P218" i="6"/>
  <c r="P316" i="6"/>
  <c r="P504" i="6"/>
  <c r="P505" i="6"/>
  <c r="P454" i="6"/>
  <c r="P87" i="6"/>
  <c r="P185" i="6"/>
  <c r="P408" i="6"/>
  <c r="P219" i="6"/>
  <c r="P364" i="6"/>
  <c r="P365" i="6"/>
  <c r="P506" i="6"/>
  <c r="P39" i="6"/>
  <c r="P40" i="6"/>
  <c r="P41" i="6"/>
  <c r="P317" i="6"/>
  <c r="P455" i="6"/>
  <c r="P88" i="6"/>
  <c r="P136" i="6"/>
  <c r="P366" i="6"/>
  <c r="P318" i="6"/>
  <c r="P89" i="6"/>
  <c r="P137" i="6"/>
  <c r="P264" i="6"/>
  <c r="P265" i="6"/>
  <c r="P8" i="6"/>
  <c r="P42" i="6"/>
  <c r="P456" i="6"/>
  <c r="P138" i="6"/>
  <c r="P367" i="6"/>
  <c r="P507" i="6"/>
  <c r="P319" i="6"/>
  <c r="P457" i="6"/>
  <c r="P458" i="6"/>
  <c r="P320" i="6"/>
  <c r="P90" i="6"/>
  <c r="P266" i="6"/>
  <c r="P508" i="6"/>
  <c r="P459" i="6"/>
  <c r="P91" i="6"/>
  <c r="P509" i="6"/>
  <c r="P9" i="6"/>
  <c r="P409" i="6"/>
  <c r="P410" i="6"/>
  <c r="P321" i="6"/>
  <c r="P43" i="6"/>
  <c r="P368" i="6"/>
  <c r="P92" i="6"/>
  <c r="P411" i="6"/>
  <c r="P220" i="6"/>
  <c r="P267" i="6"/>
  <c r="P186" i="6"/>
  <c r="P460" i="6"/>
  <c r="P461" i="6"/>
  <c r="P369" i="6"/>
  <c r="P370" i="6"/>
  <c r="P221" i="6"/>
  <c r="P222" i="6"/>
  <c r="P268" i="6"/>
  <c r="P269" i="6"/>
  <c r="P93" i="6"/>
  <c r="P94" i="6"/>
  <c r="P95" i="6"/>
  <c r="P10" i="6"/>
  <c r="P96" i="6"/>
  <c r="P322" i="6"/>
  <c r="P510" i="6"/>
  <c r="P187" i="6"/>
  <c r="P223" i="6"/>
  <c r="P371" i="6"/>
  <c r="P224" i="6"/>
  <c r="P139" i="6"/>
  <c r="P372" i="6"/>
  <c r="P462" i="6"/>
  <c r="P511" i="6"/>
  <c r="P44" i="6"/>
  <c r="P225" i="6"/>
  <c r="P45" i="6"/>
  <c r="P463" i="6"/>
  <c r="P412" i="6"/>
  <c r="P413" i="6"/>
  <c r="P464" i="6"/>
  <c r="P373" i="6"/>
  <c r="P270" i="6"/>
  <c r="P465" i="6"/>
  <c r="P323" i="6"/>
  <c r="P324" i="6"/>
  <c r="P140" i="6"/>
  <c r="P466" i="6"/>
  <c r="P141" i="6"/>
  <c r="P325" i="6"/>
  <c r="P226" i="6"/>
  <c r="P97" i="6"/>
  <c r="P271" i="6"/>
  <c r="P414" i="6"/>
  <c r="P467" i="6"/>
  <c r="P374" i="6"/>
  <c r="P227" i="6"/>
  <c r="P468" i="6"/>
  <c r="P512" i="6"/>
  <c r="P415" i="6"/>
  <c r="P416" i="6"/>
  <c r="P142" i="6"/>
  <c r="P469" i="6"/>
  <c r="P417" i="6"/>
  <c r="P11" i="6"/>
  <c r="P143" i="6"/>
  <c r="P470" i="6"/>
  <c r="P98" i="6"/>
  <c r="P228" i="6"/>
  <c r="P418" i="6"/>
  <c r="P375" i="6"/>
  <c r="P229" i="6"/>
  <c r="P230" i="6"/>
  <c r="P326" i="6"/>
  <c r="P327" i="6"/>
  <c r="P188" i="6"/>
  <c r="P231" i="6"/>
  <c r="P471" i="6"/>
  <c r="P419" i="6"/>
  <c r="P420" i="6"/>
  <c r="P99" i="6"/>
  <c r="P421" i="6"/>
  <c r="P189" i="6"/>
  <c r="P272" i="6"/>
  <c r="P144" i="6"/>
  <c r="P12" i="6"/>
  <c r="P100" i="6"/>
  <c r="P46" i="6"/>
  <c r="P513" i="6"/>
  <c r="P328" i="6"/>
  <c r="P422" i="6"/>
  <c r="P329" i="6"/>
  <c r="P145" i="6"/>
  <c r="P146" i="6"/>
  <c r="P273" i="6"/>
  <c r="P190" i="6"/>
  <c r="P232" i="6"/>
  <c r="P191" i="6"/>
  <c r="P147" i="6"/>
  <c r="P423" i="6"/>
  <c r="P472" i="6"/>
  <c r="P330" i="6"/>
  <c r="P148" i="6"/>
  <c r="P514" i="6"/>
  <c r="P13" i="6"/>
  <c r="P47" i="6"/>
  <c r="P233" i="6"/>
  <c r="P274" i="6"/>
  <c r="P376" i="6"/>
  <c r="P48" i="6"/>
  <c r="P234" i="6"/>
  <c r="P275" i="6"/>
  <c r="P473" i="6"/>
  <c r="P49" i="6"/>
  <c r="P474" i="6"/>
  <c r="P276" i="6"/>
  <c r="P50" i="6"/>
  <c r="P277" i="6"/>
  <c r="P278" i="6"/>
  <c r="P149" i="6"/>
  <c r="P515" i="6"/>
  <c r="P516" i="6"/>
  <c r="P517" i="6"/>
  <c r="P14" i="6"/>
  <c r="P518" i="6"/>
  <c r="P235" i="6"/>
  <c r="P150" i="6"/>
  <c r="P236" i="6"/>
  <c r="P151" i="6"/>
  <c r="P475" i="6"/>
  <c r="P279" i="6"/>
  <c r="P280" i="6"/>
  <c r="P51" i="6"/>
  <c r="P424" i="6"/>
  <c r="P15" i="6"/>
  <c r="P425" i="6"/>
  <c r="P426" i="6"/>
  <c r="P152" i="6"/>
  <c r="P476" i="6"/>
  <c r="P427" i="6"/>
  <c r="P331" i="6"/>
  <c r="P428" i="6"/>
  <c r="P52" i="6"/>
  <c r="P237" i="6"/>
  <c r="P238" i="6"/>
  <c r="P332" i="6"/>
  <c r="P519" i="6"/>
  <c r="P520" i="6"/>
  <c r="P101" i="6"/>
  <c r="P102" i="6"/>
  <c r="P103" i="6"/>
  <c r="P153" i="6"/>
  <c r="P281" i="6"/>
  <c r="P154" i="6"/>
  <c r="P192" i="6"/>
  <c r="P521" i="6"/>
  <c r="P477" i="6"/>
  <c r="P53" i="6"/>
  <c r="P478" i="6"/>
  <c r="P54" i="6"/>
  <c r="P16" i="6"/>
  <c r="P155" i="6"/>
  <c r="P282" i="6"/>
  <c r="P377" i="6"/>
  <c r="P283" i="6"/>
  <c r="P284" i="6"/>
  <c r="P193" i="6"/>
  <c r="P479" i="6"/>
  <c r="P522" i="6"/>
  <c r="P378" i="6"/>
  <c r="P480" i="6"/>
  <c r="P194" i="6"/>
  <c r="P104" i="6"/>
  <c r="P523" i="6"/>
  <c r="P429" i="6"/>
  <c r="P17" i="6"/>
  <c r="P285" i="6"/>
  <c r="P333" i="6"/>
  <c r="P239" i="6"/>
  <c r="P55" i="6"/>
  <c r="P18" i="6"/>
  <c r="P240" i="6"/>
  <c r="P241" i="6"/>
  <c r="P334" i="6"/>
  <c r="P242" i="6"/>
  <c r="P19" i="6"/>
  <c r="P379" i="6"/>
  <c r="P524" i="6"/>
  <c r="P286" i="6"/>
  <c r="P287" i="6"/>
  <c r="P105" i="6"/>
  <c r="P243" i="6"/>
  <c r="P481" i="6"/>
  <c r="P335" i="6"/>
  <c r="P195" i="6"/>
  <c r="P288" i="6"/>
  <c r="P289" i="6"/>
  <c r="P336" i="6"/>
  <c r="P525" i="6"/>
  <c r="P526" i="6"/>
  <c r="P527" i="6"/>
  <c r="P156" i="6"/>
  <c r="P337" i="6"/>
  <c r="P528" i="6"/>
  <c r="P157" i="6"/>
  <c r="P106" i="6"/>
  <c r="P430" i="6"/>
  <c r="P338" i="6"/>
  <c r="P339" i="6"/>
  <c r="P529" i="6"/>
  <c r="P196" i="6"/>
  <c r="P290" i="6"/>
  <c r="P530" i="6"/>
  <c r="P56" i="6"/>
  <c r="P158" i="6"/>
  <c r="P244" i="6"/>
  <c r="P431" i="6"/>
  <c r="P245" i="6"/>
  <c r="P482" i="6"/>
  <c r="P380" i="6"/>
  <c r="P381" i="6"/>
  <c r="P159" i="6"/>
  <c r="P531" i="6"/>
  <c r="P57" i="6"/>
  <c r="P246" i="6"/>
  <c r="P340" i="6"/>
  <c r="P432" i="6"/>
  <c r="P291" i="6"/>
  <c r="P107" i="6"/>
  <c r="P197" i="6"/>
  <c r="P58" i="6"/>
  <c r="P59" i="6"/>
  <c r="P160" i="6"/>
  <c r="P382" i="6"/>
  <c r="P292" i="6"/>
  <c r="P433" i="6"/>
  <c r="P247" i="6"/>
  <c r="P532" i="6"/>
  <c r="P108" i="6"/>
  <c r="P341" i="6"/>
  <c r="P483" i="6"/>
  <c r="P342" i="6"/>
  <c r="P383" i="6"/>
  <c r="P434" i="6"/>
  <c r="P533" i="6"/>
  <c r="P198" i="6"/>
  <c r="P248" i="6"/>
  <c r="P60" i="6"/>
  <c r="P384" i="6"/>
  <c r="P61" i="6"/>
  <c r="P293" i="6"/>
  <c r="P435" i="6"/>
  <c r="P20" i="6"/>
  <c r="P534" i="6"/>
  <c r="P62" i="6"/>
  <c r="P161" i="6"/>
  <c r="P63" i="6"/>
  <c r="P535" i="6"/>
  <c r="P436" i="6"/>
  <c r="P294" i="6"/>
  <c r="P21" i="6"/>
  <c r="P343" i="6"/>
  <c r="P344" i="6"/>
  <c r="P536" i="6"/>
  <c r="P109" i="6"/>
  <c r="P437" i="6"/>
  <c r="P345" i="6"/>
  <c r="P110" i="6"/>
  <c r="P199" i="6"/>
  <c r="P295" i="6"/>
  <c r="P22" i="6"/>
  <c r="P64" i="6"/>
  <c r="P438" i="6"/>
  <c r="P111" i="6"/>
  <c r="P385" i="6"/>
  <c r="P484" i="6"/>
  <c r="P200" i="6"/>
  <c r="P65" i="6"/>
  <c r="P162" i="6"/>
  <c r="P112" i="6"/>
  <c r="P113" i="6"/>
  <c r="P485" i="6"/>
  <c r="P296" i="6"/>
  <c r="P439" i="6"/>
  <c r="P23" i="6"/>
  <c r="P297" i="6"/>
  <c r="P386" i="6"/>
  <c r="P298" i="6"/>
  <c r="P24" i="6"/>
  <c r="P387" i="6"/>
  <c r="P299" i="6"/>
  <c r="P486" i="6"/>
  <c r="P114" i="6"/>
  <c r="P66" i="6"/>
  <c r="P67" i="6"/>
  <c r="P115" i="6"/>
  <c r="P300" i="6"/>
  <c r="P537" i="6"/>
  <c r="P68" i="6"/>
  <c r="P301" i="6"/>
  <c r="P201" i="6"/>
  <c r="P538" i="6"/>
  <c r="P539" i="6"/>
  <c r="P25" i="6"/>
  <c r="P388" i="6"/>
  <c r="P202" i="6"/>
  <c r="P26" i="6"/>
  <c r="P540" i="6"/>
  <c r="P541" i="6"/>
  <c r="P440" i="6"/>
  <c r="P69" i="6"/>
  <c r="P116" i="6"/>
  <c r="P302" i="6"/>
  <c r="P346" i="6"/>
  <c r="P347" i="6"/>
  <c r="P117" i="6"/>
  <c r="P163" i="6"/>
  <c r="P164" i="6"/>
  <c r="P389" i="6"/>
  <c r="P487" i="6"/>
  <c r="P165" i="6"/>
  <c r="P249" i="6"/>
  <c r="P166" i="6"/>
  <c r="P348" i="6"/>
  <c r="P118" i="6"/>
  <c r="P250" i="6"/>
  <c r="P542" i="6"/>
  <c r="P390" i="6"/>
  <c r="P27" i="6"/>
  <c r="P203" i="6"/>
  <c r="P119" i="6"/>
  <c r="P303" i="6"/>
  <c r="P391" i="6"/>
  <c r="P167" i="6"/>
  <c r="P168" i="6"/>
  <c r="P251" i="6"/>
  <c r="P28" i="6"/>
  <c r="P204" i="6"/>
  <c r="P441" i="6"/>
  <c r="P349" i="6"/>
  <c r="P70" i="6"/>
  <c r="P120" i="6"/>
  <c r="P71" i="6"/>
  <c r="P543" i="6"/>
  <c r="P205" i="6"/>
  <c r="P392" i="6"/>
  <c r="P393" i="6"/>
  <c r="P394" i="6"/>
  <c r="P442" i="6"/>
  <c r="P304" i="6"/>
  <c r="P544" i="6"/>
  <c r="P488" i="6"/>
  <c r="P121" i="6"/>
  <c r="P72" i="6"/>
  <c r="P29" i="6"/>
  <c r="P73" i="6"/>
  <c r="P395" i="6"/>
  <c r="P545" i="6"/>
  <c r="P546" i="6"/>
  <c r="P252" i="6"/>
  <c r="P547" i="6"/>
  <c r="P30" i="6"/>
  <c r="P350" i="6"/>
  <c r="P169" i="6"/>
  <c r="P443" i="6"/>
  <c r="P489" i="6"/>
  <c r="P206" i="6"/>
  <c r="P396" i="6"/>
  <c r="P122" i="6"/>
  <c r="P74" i="6"/>
  <c r="P123" i="6"/>
  <c r="P170" i="6"/>
  <c r="P171" i="6"/>
  <c r="P172" i="6"/>
  <c r="P444" i="6"/>
  <c r="P31" i="6"/>
  <c r="P32" i="6"/>
  <c r="P33" i="6"/>
  <c r="P397" i="6"/>
  <c r="P75" i="6"/>
  <c r="P445" i="6"/>
  <c r="P446" i="6"/>
  <c r="P253" i="6"/>
  <c r="P490" i="6"/>
  <c r="P491" i="6"/>
  <c r="P76" i="6"/>
  <c r="P77" i="6"/>
  <c r="P124" i="6"/>
  <c r="P305" i="6"/>
  <c r="P207" i="6"/>
  <c r="P254" i="6"/>
  <c r="P548" i="6"/>
  <c r="P173" i="6"/>
  <c r="P351" i="6"/>
  <c r="P125" i="6"/>
  <c r="P549" i="6"/>
  <c r="P398" i="6"/>
  <c r="P447" i="6"/>
  <c r="P550" i="6"/>
  <c r="P492" i="6"/>
  <c r="P78" i="6"/>
  <c r="P399" i="6"/>
  <c r="P551" i="6"/>
  <c r="P208" i="6"/>
  <c r="P552" i="6"/>
  <c r="P79" i="6"/>
  <c r="P448" i="6"/>
  <c r="P352" i="6"/>
  <c r="P353" i="6"/>
  <c r="P306" i="6"/>
  <c r="P553" i="6"/>
  <c r="P209" i="6"/>
  <c r="P174" i="6"/>
  <c r="P80" i="6"/>
  <c r="P554" i="6"/>
  <c r="P175" i="6"/>
  <c r="P126" i="6"/>
  <c r="P555" i="6"/>
  <c r="P354" i="6"/>
  <c r="P400" i="6"/>
  <c r="P556" i="6"/>
  <c r="P210" i="6"/>
  <c r="P176" i="6"/>
  <c r="P449" i="6"/>
  <c r="P34" i="6"/>
  <c r="P127" i="6"/>
  <c r="P401" i="6"/>
  <c r="P177" i="6"/>
  <c r="J178" i="6"/>
  <c r="J450" i="6"/>
  <c r="J451" i="6"/>
  <c r="J179" i="6"/>
  <c r="J402" i="6"/>
  <c r="J255" i="6"/>
  <c r="J128" i="6"/>
  <c r="J493" i="6"/>
  <c r="J180" i="6"/>
  <c r="J211" i="6"/>
  <c r="J494" i="6"/>
  <c r="J256" i="6"/>
  <c r="J81" i="6"/>
  <c r="J257" i="6"/>
  <c r="J495" i="6"/>
  <c r="J82" i="6"/>
  <c r="J83" i="6"/>
  <c r="J258" i="6"/>
  <c r="J355" i="6"/>
  <c r="J403" i="6"/>
  <c r="J259" i="6"/>
  <c r="J307" i="6"/>
  <c r="J496" i="6"/>
  <c r="J35" i="6"/>
  <c r="J2" i="6"/>
  <c r="J212" i="6"/>
  <c r="J308" i="6"/>
  <c r="J36" i="6"/>
  <c r="J356" i="6"/>
  <c r="J497" i="6"/>
  <c r="J404" i="6"/>
  <c r="J357" i="6"/>
  <c r="J181" i="6"/>
  <c r="J405" i="6"/>
  <c r="J3" i="6"/>
  <c r="J358" i="6"/>
  <c r="J129" i="6"/>
  <c r="J498" i="6"/>
  <c r="J37" i="6"/>
  <c r="J130" i="6"/>
  <c r="J182" i="6"/>
  <c r="J309" i="6"/>
  <c r="J499" i="6"/>
  <c r="J310" i="6"/>
  <c r="J500" i="6"/>
  <c r="J260" i="6"/>
  <c r="J4" i="6"/>
  <c r="J5" i="6"/>
  <c r="J311" i="6"/>
  <c r="J406" i="6"/>
  <c r="J501" i="6"/>
  <c r="J359" i="6"/>
  <c r="J360" i="6"/>
  <c r="J261" i="6"/>
  <c r="J131" i="6"/>
  <c r="J84" i="6"/>
  <c r="J312" i="6"/>
  <c r="J183" i="6"/>
  <c r="J213" i="6"/>
  <c r="J313" i="6"/>
  <c r="J502" i="6"/>
  <c r="J6" i="6"/>
  <c r="J7" i="6"/>
  <c r="J85" i="6"/>
  <c r="J262" i="6"/>
  <c r="J452" i="6"/>
  <c r="J132" i="6"/>
  <c r="J86" i="6"/>
  <c r="J314" i="6"/>
  <c r="J133" i="6"/>
  <c r="J407" i="6"/>
  <c r="J361" i="6"/>
  <c r="J263" i="6"/>
  <c r="J214" i="6"/>
  <c r="J215" i="6"/>
  <c r="J184" i="6"/>
  <c r="J134" i="6"/>
  <c r="J362" i="6"/>
  <c r="J453" i="6"/>
  <c r="J135" i="6"/>
  <c r="J216" i="6"/>
  <c r="J503" i="6"/>
  <c r="J38" i="6"/>
  <c r="J315" i="6"/>
  <c r="J363" i="6"/>
  <c r="J217" i="6"/>
  <c r="J218" i="6"/>
  <c r="J316" i="6"/>
  <c r="J504" i="6"/>
  <c r="J505" i="6"/>
  <c r="J454" i="6"/>
  <c r="J87" i="6"/>
  <c r="J185" i="6"/>
  <c r="J408" i="6"/>
  <c r="J219" i="6"/>
  <c r="J364" i="6"/>
  <c r="J365" i="6"/>
  <c r="J506" i="6"/>
  <c r="J39" i="6"/>
  <c r="J40" i="6"/>
  <c r="J41" i="6"/>
  <c r="J317" i="6"/>
  <c r="J455" i="6"/>
  <c r="J88" i="6"/>
  <c r="J136" i="6"/>
  <c r="J366" i="6"/>
  <c r="J318" i="6"/>
  <c r="J89" i="6"/>
  <c r="J137" i="6"/>
  <c r="J264" i="6"/>
  <c r="J265" i="6"/>
  <c r="J8" i="6"/>
  <c r="J42" i="6"/>
  <c r="J456" i="6"/>
  <c r="J138" i="6"/>
  <c r="J367" i="6"/>
  <c r="J507" i="6"/>
  <c r="J319" i="6"/>
  <c r="J457" i="6"/>
  <c r="J458" i="6"/>
  <c r="J320" i="6"/>
  <c r="J90" i="6"/>
  <c r="J266" i="6"/>
  <c r="J508" i="6"/>
  <c r="J459" i="6"/>
  <c r="J91" i="6"/>
  <c r="J509" i="6"/>
  <c r="J9" i="6"/>
  <c r="J409" i="6"/>
  <c r="J410" i="6"/>
  <c r="J321" i="6"/>
  <c r="J43" i="6"/>
  <c r="J368" i="6"/>
  <c r="J92" i="6"/>
  <c r="J411" i="6"/>
  <c r="J220" i="6"/>
  <c r="J267" i="6"/>
  <c r="J186" i="6"/>
  <c r="J460" i="6"/>
  <c r="J461" i="6"/>
  <c r="J369" i="6"/>
  <c r="J370" i="6"/>
  <c r="J221" i="6"/>
  <c r="J222" i="6"/>
  <c r="J268" i="6"/>
  <c r="J269" i="6"/>
  <c r="J93" i="6"/>
  <c r="J94" i="6"/>
  <c r="J95" i="6"/>
  <c r="J10" i="6"/>
  <c r="J96" i="6"/>
  <c r="J322" i="6"/>
  <c r="J510" i="6"/>
  <c r="J187" i="6"/>
  <c r="J223" i="6"/>
  <c r="J371" i="6"/>
  <c r="J224" i="6"/>
  <c r="J139" i="6"/>
  <c r="J372" i="6"/>
  <c r="J462" i="6"/>
  <c r="J511" i="6"/>
  <c r="J44" i="6"/>
  <c r="J225" i="6"/>
  <c r="J45" i="6"/>
  <c r="J463" i="6"/>
  <c r="J412" i="6"/>
  <c r="J413" i="6"/>
  <c r="J464" i="6"/>
  <c r="J373" i="6"/>
  <c r="J270" i="6"/>
  <c r="J465" i="6"/>
  <c r="J323" i="6"/>
  <c r="J324" i="6"/>
  <c r="J140" i="6"/>
  <c r="J466" i="6"/>
  <c r="J141" i="6"/>
  <c r="J325" i="6"/>
  <c r="J226" i="6"/>
  <c r="J97" i="6"/>
  <c r="J271" i="6"/>
  <c r="J414" i="6"/>
  <c r="J467" i="6"/>
  <c r="J374" i="6"/>
  <c r="J227" i="6"/>
  <c r="J468" i="6"/>
  <c r="J512" i="6"/>
  <c r="J415" i="6"/>
  <c r="J416" i="6"/>
  <c r="J142" i="6"/>
  <c r="J469" i="6"/>
  <c r="J417" i="6"/>
  <c r="J11" i="6"/>
  <c r="J143" i="6"/>
  <c r="J470" i="6"/>
  <c r="J98" i="6"/>
  <c r="J228" i="6"/>
  <c r="J418" i="6"/>
  <c r="J375" i="6"/>
  <c r="J229" i="6"/>
  <c r="J230" i="6"/>
  <c r="J326" i="6"/>
  <c r="J327" i="6"/>
  <c r="J188" i="6"/>
  <c r="J231" i="6"/>
  <c r="J471" i="6"/>
  <c r="J419" i="6"/>
  <c r="J420" i="6"/>
  <c r="J99" i="6"/>
  <c r="J421" i="6"/>
  <c r="J189" i="6"/>
  <c r="J272" i="6"/>
  <c r="J144" i="6"/>
  <c r="J12" i="6"/>
  <c r="J100" i="6"/>
  <c r="J46" i="6"/>
  <c r="J513" i="6"/>
  <c r="J328" i="6"/>
  <c r="J422" i="6"/>
  <c r="J329" i="6"/>
  <c r="J145" i="6"/>
  <c r="J146" i="6"/>
  <c r="J273" i="6"/>
  <c r="J190" i="6"/>
  <c r="J232" i="6"/>
  <c r="J191" i="6"/>
  <c r="J147" i="6"/>
  <c r="J423" i="6"/>
  <c r="J472" i="6"/>
  <c r="J330" i="6"/>
  <c r="J148" i="6"/>
  <c r="J514" i="6"/>
  <c r="J13" i="6"/>
  <c r="J47" i="6"/>
  <c r="J233" i="6"/>
  <c r="J274" i="6"/>
  <c r="J376" i="6"/>
  <c r="J48" i="6"/>
  <c r="J234" i="6"/>
  <c r="J275" i="6"/>
  <c r="J473" i="6"/>
  <c r="J49" i="6"/>
  <c r="J474" i="6"/>
  <c r="J276" i="6"/>
  <c r="J50" i="6"/>
  <c r="J277" i="6"/>
  <c r="J278" i="6"/>
  <c r="J149" i="6"/>
  <c r="J515" i="6"/>
  <c r="J516" i="6"/>
  <c r="J517" i="6"/>
  <c r="J14" i="6"/>
  <c r="J518" i="6"/>
  <c r="J235" i="6"/>
  <c r="J150" i="6"/>
  <c r="J236" i="6"/>
  <c r="J151" i="6"/>
  <c r="J475" i="6"/>
  <c r="J279" i="6"/>
  <c r="J280" i="6"/>
  <c r="J51" i="6"/>
  <c r="J424" i="6"/>
  <c r="J15" i="6"/>
  <c r="J425" i="6"/>
  <c r="J426" i="6"/>
  <c r="J152" i="6"/>
  <c r="J476" i="6"/>
  <c r="J427" i="6"/>
  <c r="J331" i="6"/>
  <c r="J428" i="6"/>
  <c r="J52" i="6"/>
  <c r="J237" i="6"/>
  <c r="J238" i="6"/>
  <c r="J332" i="6"/>
  <c r="J519" i="6"/>
  <c r="J520" i="6"/>
  <c r="J101" i="6"/>
  <c r="J102" i="6"/>
  <c r="J103" i="6"/>
  <c r="J153" i="6"/>
  <c r="J281" i="6"/>
  <c r="J154" i="6"/>
  <c r="J192" i="6"/>
  <c r="J521" i="6"/>
  <c r="J477" i="6"/>
  <c r="J53" i="6"/>
  <c r="J478" i="6"/>
  <c r="J54" i="6"/>
  <c r="J16" i="6"/>
  <c r="J155" i="6"/>
  <c r="J282" i="6"/>
  <c r="J377" i="6"/>
  <c r="J283" i="6"/>
  <c r="J284" i="6"/>
  <c r="J193" i="6"/>
  <c r="J479" i="6"/>
  <c r="J522" i="6"/>
  <c r="J378" i="6"/>
  <c r="J480" i="6"/>
  <c r="J194" i="6"/>
  <c r="J104" i="6"/>
  <c r="J523" i="6"/>
  <c r="J429" i="6"/>
  <c r="J17" i="6"/>
  <c r="J285" i="6"/>
  <c r="J333" i="6"/>
  <c r="J239" i="6"/>
  <c r="J55" i="6"/>
  <c r="J18" i="6"/>
  <c r="J240" i="6"/>
  <c r="J241" i="6"/>
  <c r="J334" i="6"/>
  <c r="J242" i="6"/>
  <c r="J19" i="6"/>
  <c r="J379" i="6"/>
  <c r="J524" i="6"/>
  <c r="J286" i="6"/>
  <c r="J287" i="6"/>
  <c r="J105" i="6"/>
  <c r="J243" i="6"/>
  <c r="J481" i="6"/>
  <c r="J335" i="6"/>
  <c r="J195" i="6"/>
  <c r="J288" i="6"/>
  <c r="J289" i="6"/>
  <c r="J336" i="6"/>
  <c r="J525" i="6"/>
  <c r="J526" i="6"/>
  <c r="J527" i="6"/>
  <c r="J156" i="6"/>
  <c r="J337" i="6"/>
  <c r="J528" i="6"/>
  <c r="J157" i="6"/>
  <c r="J106" i="6"/>
  <c r="J430" i="6"/>
  <c r="J338" i="6"/>
  <c r="J339" i="6"/>
  <c r="J529" i="6"/>
  <c r="J196" i="6"/>
  <c r="J290" i="6"/>
  <c r="J530" i="6"/>
  <c r="J56" i="6"/>
  <c r="J158" i="6"/>
  <c r="J244" i="6"/>
  <c r="J431" i="6"/>
  <c r="J245" i="6"/>
  <c r="J482" i="6"/>
  <c r="J380" i="6"/>
  <c r="J381" i="6"/>
  <c r="J159" i="6"/>
  <c r="J531" i="6"/>
  <c r="J57" i="6"/>
  <c r="J246" i="6"/>
  <c r="J340" i="6"/>
  <c r="J432" i="6"/>
  <c r="J291" i="6"/>
  <c r="J107" i="6"/>
  <c r="J197" i="6"/>
  <c r="J58" i="6"/>
  <c r="J59" i="6"/>
  <c r="J160" i="6"/>
  <c r="J382" i="6"/>
  <c r="J292" i="6"/>
  <c r="J433" i="6"/>
  <c r="J247" i="6"/>
  <c r="J532" i="6"/>
  <c r="J108" i="6"/>
  <c r="J341" i="6"/>
  <c r="J483" i="6"/>
  <c r="J342" i="6"/>
  <c r="J383" i="6"/>
  <c r="J434" i="6"/>
  <c r="J533" i="6"/>
  <c r="J198" i="6"/>
  <c r="J248" i="6"/>
  <c r="J60" i="6"/>
  <c r="J384" i="6"/>
  <c r="J61" i="6"/>
  <c r="J293" i="6"/>
  <c r="J435" i="6"/>
  <c r="J20" i="6"/>
  <c r="J534" i="6"/>
  <c r="J62" i="6"/>
  <c r="J161" i="6"/>
  <c r="J63" i="6"/>
  <c r="J535" i="6"/>
  <c r="J436" i="6"/>
  <c r="J294" i="6"/>
  <c r="J21" i="6"/>
  <c r="J343" i="6"/>
  <c r="J344" i="6"/>
  <c r="J536" i="6"/>
  <c r="J109" i="6"/>
  <c r="J437" i="6"/>
  <c r="J345" i="6"/>
  <c r="J110" i="6"/>
  <c r="J199" i="6"/>
  <c r="J295" i="6"/>
  <c r="J22" i="6"/>
  <c r="J64" i="6"/>
  <c r="J438" i="6"/>
  <c r="J111" i="6"/>
  <c r="J385" i="6"/>
  <c r="J484" i="6"/>
  <c r="J200" i="6"/>
  <c r="J65" i="6"/>
  <c r="J162" i="6"/>
  <c r="J112" i="6"/>
  <c r="J113" i="6"/>
  <c r="J485" i="6"/>
  <c r="J296" i="6"/>
  <c r="J439" i="6"/>
  <c r="J23" i="6"/>
  <c r="J297" i="6"/>
  <c r="J386" i="6"/>
  <c r="J298" i="6"/>
  <c r="J24" i="6"/>
  <c r="J387" i="6"/>
  <c r="J299" i="6"/>
  <c r="J486" i="6"/>
  <c r="J114" i="6"/>
  <c r="J66" i="6"/>
  <c r="J67" i="6"/>
  <c r="J115" i="6"/>
  <c r="J300" i="6"/>
  <c r="J537" i="6"/>
  <c r="J68" i="6"/>
  <c r="J301" i="6"/>
  <c r="J201" i="6"/>
  <c r="J538" i="6"/>
  <c r="J539" i="6"/>
  <c r="J25" i="6"/>
  <c r="J388" i="6"/>
  <c r="J202" i="6"/>
  <c r="J26" i="6"/>
  <c r="J540" i="6"/>
  <c r="J541" i="6"/>
  <c r="J440" i="6"/>
  <c r="J69" i="6"/>
  <c r="J116" i="6"/>
  <c r="J302" i="6"/>
  <c r="J346" i="6"/>
  <c r="J347" i="6"/>
  <c r="J117" i="6"/>
  <c r="J163" i="6"/>
  <c r="J164" i="6"/>
  <c r="J389" i="6"/>
  <c r="J487" i="6"/>
  <c r="J165" i="6"/>
  <c r="J249" i="6"/>
  <c r="J166" i="6"/>
  <c r="J348" i="6"/>
  <c r="J118" i="6"/>
  <c r="J250" i="6"/>
  <c r="J542" i="6"/>
  <c r="J390" i="6"/>
  <c r="J27" i="6"/>
  <c r="J203" i="6"/>
  <c r="J119" i="6"/>
  <c r="J303" i="6"/>
  <c r="J391" i="6"/>
  <c r="J167" i="6"/>
  <c r="J168" i="6"/>
  <c r="J251" i="6"/>
  <c r="J28" i="6"/>
  <c r="J204" i="6"/>
  <c r="J441" i="6"/>
  <c r="J349" i="6"/>
  <c r="J70" i="6"/>
  <c r="J120" i="6"/>
  <c r="J71" i="6"/>
  <c r="J543" i="6"/>
  <c r="J205" i="6"/>
  <c r="J392" i="6"/>
  <c r="J393" i="6"/>
  <c r="J394" i="6"/>
  <c r="J442" i="6"/>
  <c r="J304" i="6"/>
  <c r="J544" i="6"/>
  <c r="J488" i="6"/>
  <c r="J121" i="6"/>
  <c r="J72" i="6"/>
  <c r="J29" i="6"/>
  <c r="J73" i="6"/>
  <c r="J395" i="6"/>
  <c r="J545" i="6"/>
  <c r="J546" i="6"/>
  <c r="J252" i="6"/>
  <c r="J547" i="6"/>
  <c r="J30" i="6"/>
  <c r="J350" i="6"/>
  <c r="J169" i="6"/>
  <c r="J443" i="6"/>
  <c r="J489" i="6"/>
  <c r="J206" i="6"/>
  <c r="J396" i="6"/>
  <c r="J122" i="6"/>
  <c r="J74" i="6"/>
  <c r="J123" i="6"/>
  <c r="J170" i="6"/>
  <c r="J171" i="6"/>
  <c r="J172" i="6"/>
  <c r="J444" i="6"/>
  <c r="J31" i="6"/>
  <c r="J32" i="6"/>
  <c r="J33" i="6"/>
  <c r="J397" i="6"/>
  <c r="J75" i="6"/>
  <c r="J445" i="6"/>
  <c r="J446" i="6"/>
  <c r="J253" i="6"/>
  <c r="J490" i="6"/>
  <c r="J491" i="6"/>
  <c r="J76" i="6"/>
  <c r="J77" i="6"/>
  <c r="J124" i="6"/>
  <c r="J305" i="6"/>
  <c r="J207" i="6"/>
  <c r="J254" i="6"/>
  <c r="J548" i="6"/>
  <c r="J173" i="6"/>
  <c r="J351" i="6"/>
  <c r="J125" i="6"/>
  <c r="J549" i="6"/>
  <c r="J398" i="6"/>
  <c r="J447" i="6"/>
  <c r="J550" i="6"/>
  <c r="J492" i="6"/>
  <c r="J78" i="6"/>
  <c r="J399" i="6"/>
  <c r="J551" i="6"/>
  <c r="J208" i="6"/>
  <c r="J552" i="6"/>
  <c r="J79" i="6"/>
  <c r="J448" i="6"/>
  <c r="J352" i="6"/>
  <c r="J353" i="6"/>
  <c r="J306" i="6"/>
  <c r="J553" i="6"/>
  <c r="J209" i="6"/>
  <c r="J174" i="6"/>
  <c r="J80" i="6"/>
  <c r="J554" i="6"/>
  <c r="J175" i="6"/>
  <c r="J126" i="6"/>
  <c r="J555" i="6"/>
  <c r="J354" i="6"/>
  <c r="J400" i="6"/>
  <c r="J556" i="6"/>
  <c r="J210" i="6"/>
  <c r="J176" i="6"/>
  <c r="J449" i="6"/>
  <c r="J34" i="6"/>
  <c r="J127" i="6"/>
  <c r="J401" i="6"/>
  <c r="J177" i="6"/>
  <c r="L178" i="6"/>
  <c r="L450" i="6"/>
  <c r="L451" i="6"/>
  <c r="L179" i="6"/>
  <c r="L402" i="6"/>
  <c r="L255" i="6"/>
  <c r="L128" i="6"/>
  <c r="L493" i="6"/>
  <c r="L180" i="6"/>
  <c r="L211" i="6"/>
  <c r="L494" i="6"/>
  <c r="L256" i="6"/>
  <c r="L81" i="6"/>
  <c r="L257" i="6"/>
  <c r="L495" i="6"/>
  <c r="L82" i="6"/>
  <c r="L83" i="6"/>
  <c r="L258" i="6"/>
  <c r="L355" i="6"/>
  <c r="L403" i="6"/>
  <c r="L259" i="6"/>
  <c r="L307" i="6"/>
  <c r="L496" i="6"/>
  <c r="L35" i="6"/>
  <c r="L2" i="6"/>
  <c r="L212" i="6"/>
  <c r="L308" i="6"/>
  <c r="L36" i="6"/>
  <c r="L356" i="6"/>
  <c r="L497" i="6"/>
  <c r="L404" i="6"/>
  <c r="L357" i="6"/>
  <c r="L181" i="6"/>
  <c r="L405" i="6"/>
  <c r="L3" i="6"/>
  <c r="L358" i="6"/>
  <c r="L129" i="6"/>
  <c r="L498" i="6"/>
  <c r="L37" i="6"/>
  <c r="L130" i="6"/>
  <c r="L182" i="6"/>
  <c r="L309" i="6"/>
  <c r="L499" i="6"/>
  <c r="L310" i="6"/>
  <c r="L500" i="6"/>
  <c r="L260" i="6"/>
  <c r="L4" i="6"/>
  <c r="L5" i="6"/>
  <c r="L311" i="6"/>
  <c r="L406" i="6"/>
  <c r="L501" i="6"/>
  <c r="L359" i="6"/>
  <c r="L360" i="6"/>
  <c r="L261" i="6"/>
  <c r="L131" i="6"/>
  <c r="L84" i="6"/>
  <c r="L312" i="6"/>
  <c r="L183" i="6"/>
  <c r="L213" i="6"/>
  <c r="L313" i="6"/>
  <c r="L502" i="6"/>
  <c r="L6" i="6"/>
  <c r="L7" i="6"/>
  <c r="L85" i="6"/>
  <c r="L262" i="6"/>
  <c r="L452" i="6"/>
  <c r="L132" i="6"/>
  <c r="L86" i="6"/>
  <c r="L314" i="6"/>
  <c r="L133" i="6"/>
  <c r="L407" i="6"/>
  <c r="L361" i="6"/>
  <c r="L263" i="6"/>
  <c r="L214" i="6"/>
  <c r="L215" i="6"/>
  <c r="L184" i="6"/>
  <c r="L134" i="6"/>
  <c r="L362" i="6"/>
  <c r="L453" i="6"/>
  <c r="L135" i="6"/>
  <c r="L216" i="6"/>
  <c r="L503" i="6"/>
  <c r="L38" i="6"/>
  <c r="L315" i="6"/>
  <c r="L363" i="6"/>
  <c r="L217" i="6"/>
  <c r="L218" i="6"/>
  <c r="L316" i="6"/>
  <c r="L504" i="6"/>
  <c r="L505" i="6"/>
  <c r="L454" i="6"/>
  <c r="L87" i="6"/>
  <c r="L185" i="6"/>
  <c r="L408" i="6"/>
  <c r="L219" i="6"/>
  <c r="L364" i="6"/>
  <c r="L365" i="6"/>
  <c r="L506" i="6"/>
  <c r="L39" i="6"/>
  <c r="L40" i="6"/>
  <c r="L41" i="6"/>
  <c r="L317" i="6"/>
  <c r="L455" i="6"/>
  <c r="L88" i="6"/>
  <c r="L136" i="6"/>
  <c r="L366" i="6"/>
  <c r="L318" i="6"/>
  <c r="L89" i="6"/>
  <c r="L137" i="6"/>
  <c r="L264" i="6"/>
  <c r="L265" i="6"/>
  <c r="L8" i="6"/>
  <c r="L42" i="6"/>
  <c r="L456" i="6"/>
  <c r="L138" i="6"/>
  <c r="L367" i="6"/>
  <c r="L507" i="6"/>
  <c r="L319" i="6"/>
  <c r="L457" i="6"/>
  <c r="L458" i="6"/>
  <c r="L320" i="6"/>
  <c r="L90" i="6"/>
  <c r="L266" i="6"/>
  <c r="L508" i="6"/>
  <c r="L459" i="6"/>
  <c r="L91" i="6"/>
  <c r="L509" i="6"/>
  <c r="L9" i="6"/>
  <c r="L409" i="6"/>
  <c r="L410" i="6"/>
  <c r="L321" i="6"/>
  <c r="L43" i="6"/>
  <c r="L368" i="6"/>
  <c r="L92" i="6"/>
  <c r="L411" i="6"/>
  <c r="L220" i="6"/>
  <c r="L267" i="6"/>
  <c r="L186" i="6"/>
  <c r="L460" i="6"/>
  <c r="L461" i="6"/>
  <c r="L369" i="6"/>
  <c r="L370" i="6"/>
  <c r="L221" i="6"/>
  <c r="L222" i="6"/>
  <c r="L268" i="6"/>
  <c r="L269" i="6"/>
  <c r="L93" i="6"/>
  <c r="L94" i="6"/>
  <c r="L95" i="6"/>
  <c r="L10" i="6"/>
  <c r="L96" i="6"/>
  <c r="L322" i="6"/>
  <c r="L510" i="6"/>
  <c r="L187" i="6"/>
  <c r="L223" i="6"/>
  <c r="L371" i="6"/>
  <c r="L224" i="6"/>
  <c r="L139" i="6"/>
  <c r="L372" i="6"/>
  <c r="L462" i="6"/>
  <c r="L511" i="6"/>
  <c r="L44" i="6"/>
  <c r="L225" i="6"/>
  <c r="L45" i="6"/>
  <c r="L463" i="6"/>
  <c r="L412" i="6"/>
  <c r="L413" i="6"/>
  <c r="L464" i="6"/>
  <c r="L373" i="6"/>
  <c r="L270" i="6"/>
  <c r="L465" i="6"/>
  <c r="L323" i="6"/>
  <c r="L324" i="6"/>
  <c r="L140" i="6"/>
  <c r="L466" i="6"/>
  <c r="L141" i="6"/>
  <c r="L325" i="6"/>
  <c r="L226" i="6"/>
  <c r="L97" i="6"/>
  <c r="L271" i="6"/>
  <c r="L414" i="6"/>
  <c r="L467" i="6"/>
  <c r="L374" i="6"/>
  <c r="L227" i="6"/>
  <c r="L468" i="6"/>
  <c r="L512" i="6"/>
  <c r="L415" i="6"/>
  <c r="L416" i="6"/>
  <c r="L142" i="6"/>
  <c r="L469" i="6"/>
  <c r="L417" i="6"/>
  <c r="L11" i="6"/>
  <c r="L143" i="6"/>
  <c r="L470" i="6"/>
  <c r="L98" i="6"/>
  <c r="L228" i="6"/>
  <c r="L418" i="6"/>
  <c r="L375" i="6"/>
  <c r="L229" i="6"/>
  <c r="L230" i="6"/>
  <c r="L326" i="6"/>
  <c r="L327" i="6"/>
  <c r="L188" i="6"/>
  <c r="L231" i="6"/>
  <c r="L471" i="6"/>
  <c r="L419" i="6"/>
  <c r="L420" i="6"/>
  <c r="L99" i="6"/>
  <c r="L421" i="6"/>
  <c r="L189" i="6"/>
  <c r="L272" i="6"/>
  <c r="L144" i="6"/>
  <c r="L12" i="6"/>
  <c r="L100" i="6"/>
  <c r="L46" i="6"/>
  <c r="L513" i="6"/>
  <c r="L328" i="6"/>
  <c r="L422" i="6"/>
  <c r="L329" i="6"/>
  <c r="L145" i="6"/>
  <c r="L146" i="6"/>
  <c r="L273" i="6"/>
  <c r="L190" i="6"/>
  <c r="L232" i="6"/>
  <c r="L191" i="6"/>
  <c r="L147" i="6"/>
  <c r="L423" i="6"/>
  <c r="L472" i="6"/>
  <c r="L330" i="6"/>
  <c r="L148" i="6"/>
  <c r="L514" i="6"/>
  <c r="L13" i="6"/>
  <c r="L47" i="6"/>
  <c r="L233" i="6"/>
  <c r="L274" i="6"/>
  <c r="L376" i="6"/>
  <c r="L48" i="6"/>
  <c r="L234" i="6"/>
  <c r="L275" i="6"/>
  <c r="L473" i="6"/>
  <c r="L49" i="6"/>
  <c r="L474" i="6"/>
  <c r="L276" i="6"/>
  <c r="L50" i="6"/>
  <c r="L277" i="6"/>
  <c r="L278" i="6"/>
  <c r="L149" i="6"/>
  <c r="L515" i="6"/>
  <c r="L516" i="6"/>
  <c r="L517" i="6"/>
  <c r="L14" i="6"/>
  <c r="L518" i="6"/>
  <c r="L235" i="6"/>
  <c r="L150" i="6"/>
  <c r="L236" i="6"/>
  <c r="L151" i="6"/>
  <c r="L475" i="6"/>
  <c r="L279" i="6"/>
  <c r="L280" i="6"/>
  <c r="L51" i="6"/>
  <c r="L424" i="6"/>
  <c r="L15" i="6"/>
  <c r="L425" i="6"/>
  <c r="L426" i="6"/>
  <c r="L152" i="6"/>
  <c r="L476" i="6"/>
  <c r="L427" i="6"/>
  <c r="L331" i="6"/>
  <c r="L428" i="6"/>
  <c r="L52" i="6"/>
  <c r="L237" i="6"/>
  <c r="L238" i="6"/>
  <c r="L332" i="6"/>
  <c r="L519" i="6"/>
  <c r="L520" i="6"/>
  <c r="L101" i="6"/>
  <c r="L102" i="6"/>
  <c r="L103" i="6"/>
  <c r="L153" i="6"/>
  <c r="L281" i="6"/>
  <c r="L154" i="6"/>
  <c r="L192" i="6"/>
  <c r="L521" i="6"/>
  <c r="L477" i="6"/>
  <c r="L53" i="6"/>
  <c r="L478" i="6"/>
  <c r="L54" i="6"/>
  <c r="L16" i="6"/>
  <c r="L155" i="6"/>
  <c r="L282" i="6"/>
  <c r="L377" i="6"/>
  <c r="L283" i="6"/>
  <c r="L284" i="6"/>
  <c r="L193" i="6"/>
  <c r="L479" i="6"/>
  <c r="L522" i="6"/>
  <c r="L378" i="6"/>
  <c r="L480" i="6"/>
  <c r="L194" i="6"/>
  <c r="L104" i="6"/>
  <c r="L523" i="6"/>
  <c r="L429" i="6"/>
  <c r="L17" i="6"/>
  <c r="L285" i="6"/>
  <c r="L333" i="6"/>
  <c r="L239" i="6"/>
  <c r="L55" i="6"/>
  <c r="L18" i="6"/>
  <c r="L240" i="6"/>
  <c r="L241" i="6"/>
  <c r="L334" i="6"/>
  <c r="L242" i="6"/>
  <c r="L19" i="6"/>
  <c r="L379" i="6"/>
  <c r="L524" i="6"/>
  <c r="L286" i="6"/>
  <c r="L287" i="6"/>
  <c r="L105" i="6"/>
  <c r="L243" i="6"/>
  <c r="L481" i="6"/>
  <c r="L335" i="6"/>
  <c r="L195" i="6"/>
  <c r="L288" i="6"/>
  <c r="L289" i="6"/>
  <c r="L336" i="6"/>
  <c r="L525" i="6"/>
  <c r="L526" i="6"/>
  <c r="L527" i="6"/>
  <c r="L156" i="6"/>
  <c r="L337" i="6"/>
  <c r="L528" i="6"/>
  <c r="L157" i="6"/>
  <c r="L106" i="6"/>
  <c r="L430" i="6"/>
  <c r="L338" i="6"/>
  <c r="L339" i="6"/>
  <c r="L529" i="6"/>
  <c r="L196" i="6"/>
  <c r="L290" i="6"/>
  <c r="L530" i="6"/>
  <c r="L56" i="6"/>
  <c r="L158" i="6"/>
  <c r="L244" i="6"/>
  <c r="L431" i="6"/>
  <c r="L245" i="6"/>
  <c r="L482" i="6"/>
  <c r="L380" i="6"/>
  <c r="L381" i="6"/>
  <c r="L159" i="6"/>
  <c r="L531" i="6"/>
  <c r="L57" i="6"/>
  <c r="L246" i="6"/>
  <c r="L340" i="6"/>
  <c r="L432" i="6"/>
  <c r="L291" i="6"/>
  <c r="L107" i="6"/>
  <c r="L197" i="6"/>
  <c r="L58" i="6"/>
  <c r="L59" i="6"/>
  <c r="L160" i="6"/>
  <c r="L382" i="6"/>
  <c r="L292" i="6"/>
  <c r="L433" i="6"/>
  <c r="L247" i="6"/>
  <c r="L532" i="6"/>
  <c r="L108" i="6"/>
  <c r="L341" i="6"/>
  <c r="L483" i="6"/>
  <c r="L342" i="6"/>
  <c r="L383" i="6"/>
  <c r="L434" i="6"/>
  <c r="L533" i="6"/>
  <c r="L198" i="6"/>
  <c r="L248" i="6"/>
  <c r="L60" i="6"/>
  <c r="L384" i="6"/>
  <c r="L61" i="6"/>
  <c r="L293" i="6"/>
  <c r="L435" i="6"/>
  <c r="L20" i="6"/>
  <c r="L534" i="6"/>
  <c r="L62" i="6"/>
  <c r="L161" i="6"/>
  <c r="L63" i="6"/>
  <c r="L535" i="6"/>
  <c r="L436" i="6"/>
  <c r="L294" i="6"/>
  <c r="L21" i="6"/>
  <c r="L343" i="6"/>
  <c r="L344" i="6"/>
  <c r="L536" i="6"/>
  <c r="L109" i="6"/>
  <c r="L437" i="6"/>
  <c r="L345" i="6"/>
  <c r="L110" i="6"/>
  <c r="L199" i="6"/>
  <c r="L295" i="6"/>
  <c r="L22" i="6"/>
  <c r="L64" i="6"/>
  <c r="L438" i="6"/>
  <c r="L111" i="6"/>
  <c r="L385" i="6"/>
  <c r="L484" i="6"/>
  <c r="L200" i="6"/>
  <c r="L65" i="6"/>
  <c r="L162" i="6"/>
  <c r="L112" i="6"/>
  <c r="L113" i="6"/>
  <c r="L485" i="6"/>
  <c r="L296" i="6"/>
  <c r="L439" i="6"/>
  <c r="L23" i="6"/>
  <c r="L297" i="6"/>
  <c r="L386" i="6"/>
  <c r="L298" i="6"/>
  <c r="L24" i="6"/>
  <c r="L387" i="6"/>
  <c r="L299" i="6"/>
  <c r="L486" i="6"/>
  <c r="L114" i="6"/>
  <c r="L66" i="6"/>
  <c r="L67" i="6"/>
  <c r="L115" i="6"/>
  <c r="L300" i="6"/>
  <c r="L537" i="6"/>
  <c r="L68" i="6"/>
  <c r="L301" i="6"/>
  <c r="L201" i="6"/>
  <c r="L538" i="6"/>
  <c r="L539" i="6"/>
  <c r="L25" i="6"/>
  <c r="L388" i="6"/>
  <c r="L202" i="6"/>
  <c r="L26" i="6"/>
  <c r="L540" i="6"/>
  <c r="L541" i="6"/>
  <c r="L440" i="6"/>
  <c r="L69" i="6"/>
  <c r="L116" i="6"/>
  <c r="L302" i="6"/>
  <c r="L346" i="6"/>
  <c r="L347" i="6"/>
  <c r="L117" i="6"/>
  <c r="L163" i="6"/>
  <c r="L164" i="6"/>
  <c r="L389" i="6"/>
  <c r="L487" i="6"/>
  <c r="L165" i="6"/>
  <c r="L249" i="6"/>
  <c r="L166" i="6"/>
  <c r="L348" i="6"/>
  <c r="L118" i="6"/>
  <c r="L250" i="6"/>
  <c r="L542" i="6"/>
  <c r="L390" i="6"/>
  <c r="L27" i="6"/>
  <c r="L203" i="6"/>
  <c r="L119" i="6"/>
  <c r="L303" i="6"/>
  <c r="L391" i="6"/>
  <c r="L167" i="6"/>
  <c r="L168" i="6"/>
  <c r="L251" i="6"/>
  <c r="L28" i="6"/>
  <c r="L204" i="6"/>
  <c r="L441" i="6"/>
  <c r="L349" i="6"/>
  <c r="L70" i="6"/>
  <c r="L120" i="6"/>
  <c r="L71" i="6"/>
  <c r="L543" i="6"/>
  <c r="L205" i="6"/>
  <c r="L392" i="6"/>
  <c r="L393" i="6"/>
  <c r="L394" i="6"/>
  <c r="L442" i="6"/>
  <c r="L304" i="6"/>
  <c r="L544" i="6"/>
  <c r="L488" i="6"/>
  <c r="L121" i="6"/>
  <c r="L72" i="6"/>
  <c r="L29" i="6"/>
  <c r="L73" i="6"/>
  <c r="L395" i="6"/>
  <c r="L545" i="6"/>
  <c r="L546" i="6"/>
  <c r="L252" i="6"/>
  <c r="L547" i="6"/>
  <c r="L30" i="6"/>
  <c r="L350" i="6"/>
  <c r="L169" i="6"/>
  <c r="L443" i="6"/>
  <c r="L489" i="6"/>
  <c r="L206" i="6"/>
  <c r="L396" i="6"/>
  <c r="L122" i="6"/>
  <c r="L74" i="6"/>
  <c r="L123" i="6"/>
  <c r="L170" i="6"/>
  <c r="L171" i="6"/>
  <c r="L172" i="6"/>
  <c r="L444" i="6"/>
  <c r="L31" i="6"/>
  <c r="L32" i="6"/>
  <c r="L33" i="6"/>
  <c r="L397" i="6"/>
  <c r="L75" i="6"/>
  <c r="L445" i="6"/>
  <c r="L446" i="6"/>
  <c r="L253" i="6"/>
  <c r="L490" i="6"/>
  <c r="L491" i="6"/>
  <c r="L76" i="6"/>
  <c r="L77" i="6"/>
  <c r="L124" i="6"/>
  <c r="L305" i="6"/>
  <c r="L207" i="6"/>
  <c r="L254" i="6"/>
  <c r="L548" i="6"/>
  <c r="L173" i="6"/>
  <c r="L351" i="6"/>
  <c r="L125" i="6"/>
  <c r="L549" i="6"/>
  <c r="L398" i="6"/>
  <c r="L447" i="6"/>
  <c r="L550" i="6"/>
  <c r="L492" i="6"/>
  <c r="L78" i="6"/>
  <c r="L399" i="6"/>
  <c r="L551" i="6"/>
  <c r="L208" i="6"/>
  <c r="L552" i="6"/>
  <c r="L79" i="6"/>
  <c r="L448" i="6"/>
  <c r="L352" i="6"/>
  <c r="L353" i="6"/>
  <c r="L306" i="6"/>
  <c r="L553" i="6"/>
  <c r="L209" i="6"/>
  <c r="L174" i="6"/>
  <c r="L80" i="6"/>
  <c r="L554" i="6"/>
  <c r="L175" i="6"/>
  <c r="L126" i="6"/>
  <c r="L555" i="6"/>
  <c r="L354" i="6"/>
  <c r="L400" i="6"/>
  <c r="L556" i="6"/>
  <c r="L210" i="6"/>
  <c r="L176" i="6"/>
  <c r="L449" i="6"/>
  <c r="L34" i="6"/>
  <c r="L127" i="6"/>
  <c r="L401" i="6"/>
  <c r="L177" i="6"/>
  <c r="M372" i="6" l="1"/>
  <c r="M125" i="6"/>
  <c r="N125" i="6" s="1"/>
  <c r="M393" i="6"/>
  <c r="N393" i="6" s="1"/>
  <c r="M347" i="6"/>
  <c r="N347" i="6" s="1"/>
  <c r="M68" i="6"/>
  <c r="N68" i="6" s="1"/>
  <c r="M386" i="6"/>
  <c r="M162" i="6"/>
  <c r="M22" i="6"/>
  <c r="N22" i="6" s="1"/>
  <c r="M62" i="6"/>
  <c r="N62" i="6" s="1"/>
  <c r="M248" i="6"/>
  <c r="M108" i="6"/>
  <c r="N108" i="6" s="1"/>
  <c r="M158" i="6"/>
  <c r="N158" i="6" s="1"/>
  <c r="M397" i="6"/>
  <c r="N397" i="6" s="1"/>
  <c r="M546" i="6"/>
  <c r="N546" i="6" s="1"/>
  <c r="M26" i="6"/>
  <c r="M539" i="6"/>
  <c r="N539" i="6" s="1"/>
  <c r="M299" i="6"/>
  <c r="N299" i="6" s="1"/>
  <c r="M296" i="6"/>
  <c r="N296" i="6" s="1"/>
  <c r="M385" i="6"/>
  <c r="M345" i="6"/>
  <c r="N345" i="6" s="1"/>
  <c r="M436" i="6"/>
  <c r="N436" i="6" s="1"/>
  <c r="M293" i="6"/>
  <c r="N293" i="6" s="1"/>
  <c r="M383" i="6"/>
  <c r="M292" i="6"/>
  <c r="N292" i="6" s="1"/>
  <c r="M58" i="6"/>
  <c r="N58" i="6" s="1"/>
  <c r="M432" i="6"/>
  <c r="M531" i="6"/>
  <c r="M482" i="6"/>
  <c r="N482" i="6" s="1"/>
  <c r="M204" i="6"/>
  <c r="N204" i="6" s="1"/>
  <c r="M202" i="6"/>
  <c r="M111" i="6"/>
  <c r="M338" i="6"/>
  <c r="N338" i="6" s="1"/>
  <c r="M17" i="6"/>
  <c r="N17" i="6" s="1"/>
  <c r="M237" i="6"/>
  <c r="N237" i="6" s="1"/>
  <c r="M232" i="6"/>
  <c r="M126" i="6"/>
  <c r="N126" i="6" s="1"/>
  <c r="M107" i="6"/>
  <c r="N107" i="6" s="1"/>
  <c r="M16" i="6"/>
  <c r="N16" i="6" s="1"/>
  <c r="M275" i="6"/>
  <c r="N275" i="6" s="1"/>
  <c r="M420" i="6"/>
  <c r="N420" i="6" s="1"/>
  <c r="M466" i="6"/>
  <c r="N466" i="6" s="1"/>
  <c r="M221" i="6"/>
  <c r="N221" i="6" s="1"/>
  <c r="M265" i="6"/>
  <c r="N265" i="6" s="1"/>
  <c r="M453" i="6"/>
  <c r="N453" i="6" s="1"/>
  <c r="M4" i="6"/>
  <c r="N4" i="6" s="1"/>
  <c r="M495" i="6"/>
  <c r="N495" i="6" s="1"/>
  <c r="M556" i="6"/>
  <c r="N556" i="6" s="1"/>
  <c r="M305" i="6"/>
  <c r="N305" i="6" s="1"/>
  <c r="M21" i="6"/>
  <c r="N21" i="6" s="1"/>
  <c r="M533" i="6"/>
  <c r="N533" i="6" s="1"/>
  <c r="M530" i="6"/>
  <c r="N530" i="6" s="1"/>
  <c r="M481" i="6"/>
  <c r="N481" i="6" s="1"/>
  <c r="M50" i="6"/>
  <c r="N50" i="6" s="1"/>
  <c r="M552" i="6"/>
  <c r="N552" i="6" s="1"/>
  <c r="M200" i="6"/>
  <c r="N200" i="6" s="1"/>
  <c r="M18" i="6"/>
  <c r="N18" i="6" s="1"/>
  <c r="M101" i="6"/>
  <c r="N101" i="6" s="1"/>
  <c r="M151" i="6"/>
  <c r="N151" i="6" s="1"/>
  <c r="M127" i="6"/>
  <c r="N127" i="6" s="1"/>
  <c r="M210" i="6"/>
  <c r="N210" i="6" s="1"/>
  <c r="M555" i="6"/>
  <c r="N555" i="6" s="1"/>
  <c r="M306" i="6"/>
  <c r="N306" i="6" s="1"/>
  <c r="M79" i="6"/>
  <c r="N79" i="6" s="1"/>
  <c r="M399" i="6"/>
  <c r="N399" i="6" s="1"/>
  <c r="M351" i="6"/>
  <c r="N351" i="6" s="1"/>
  <c r="M207" i="6"/>
  <c r="N207" i="6" s="1"/>
  <c r="M76" i="6"/>
  <c r="N76" i="6" s="1"/>
  <c r="M33" i="6"/>
  <c r="N33" i="6" s="1"/>
  <c r="M74" i="6"/>
  <c r="N74" i="6" s="1"/>
  <c r="M174" i="6"/>
  <c r="N174" i="6" s="1"/>
  <c r="M78" i="6"/>
  <c r="N78" i="6" s="1"/>
  <c r="M398" i="6"/>
  <c r="N398" i="6" s="1"/>
  <c r="M491" i="6"/>
  <c r="N491" i="6" s="1"/>
  <c r="M199" i="6"/>
  <c r="N199" i="6" s="1"/>
  <c r="M20" i="6"/>
  <c r="N20" i="6" s="1"/>
  <c r="M247" i="6"/>
  <c r="N247" i="6" s="1"/>
  <c r="M246" i="6"/>
  <c r="N246" i="6" s="1"/>
  <c r="M431" i="6"/>
  <c r="N431" i="6" s="1"/>
  <c r="M157" i="6"/>
  <c r="N157" i="6" s="1"/>
  <c r="M289" i="6"/>
  <c r="N289" i="6" s="1"/>
  <c r="M286" i="6"/>
  <c r="N286" i="6" s="1"/>
  <c r="M104" i="6"/>
  <c r="N104" i="6" s="1"/>
  <c r="M283" i="6"/>
  <c r="N283" i="6" s="1"/>
  <c r="M477" i="6"/>
  <c r="N477" i="6" s="1"/>
  <c r="M281" i="6"/>
  <c r="N281" i="6" s="1"/>
  <c r="M331" i="6"/>
  <c r="N331" i="6" s="1"/>
  <c r="M515" i="6"/>
  <c r="N515" i="6" s="1"/>
  <c r="M376" i="6"/>
  <c r="N376" i="6" s="1"/>
  <c r="M472" i="6"/>
  <c r="N472" i="6" s="1"/>
  <c r="M145" i="6"/>
  <c r="N145" i="6" s="1"/>
  <c r="M99" i="6"/>
  <c r="N99" i="6" s="1"/>
  <c r="M230" i="6"/>
  <c r="N230" i="6" s="1"/>
  <c r="M416" i="6"/>
  <c r="N416" i="6" s="1"/>
  <c r="M271" i="6"/>
  <c r="N271" i="6" s="1"/>
  <c r="M323" i="6"/>
  <c r="N323" i="6" s="1"/>
  <c r="M45" i="6"/>
  <c r="N45" i="6" s="1"/>
  <c r="M371" i="6"/>
  <c r="N371" i="6" s="1"/>
  <c r="M322" i="6"/>
  <c r="N322" i="6" s="1"/>
  <c r="M222" i="6"/>
  <c r="N222" i="6" s="1"/>
  <c r="M220" i="6"/>
  <c r="N220" i="6" s="1"/>
  <c r="M9" i="6"/>
  <c r="N9" i="6" s="1"/>
  <c r="M458" i="6"/>
  <c r="N458" i="6" s="1"/>
  <c r="M367" i="6"/>
  <c r="N367" i="6" s="1"/>
  <c r="M89" i="6"/>
  <c r="N89" i="6" s="1"/>
  <c r="M40" i="6"/>
  <c r="N40" i="6" s="1"/>
  <c r="M316" i="6"/>
  <c r="N316" i="6" s="1"/>
  <c r="M135" i="6"/>
  <c r="N135" i="6" s="1"/>
  <c r="M84" i="6"/>
  <c r="N84" i="6" s="1"/>
  <c r="M358" i="6"/>
  <c r="N358" i="6" s="1"/>
  <c r="M35" i="6"/>
  <c r="N35" i="6" s="1"/>
  <c r="M493" i="6"/>
  <c r="N493" i="6" s="1"/>
  <c r="M85" i="6"/>
  <c r="N85" i="6" s="1"/>
  <c r="M23" i="6"/>
  <c r="N23" i="6" s="1"/>
  <c r="M113" i="6"/>
  <c r="N113" i="6" s="1"/>
  <c r="M438" i="6"/>
  <c r="N438" i="6" s="1"/>
  <c r="M109" i="6"/>
  <c r="N109" i="6" s="1"/>
  <c r="M63" i="6"/>
  <c r="N63" i="6" s="1"/>
  <c r="M384" i="6"/>
  <c r="N384" i="6" s="1"/>
  <c r="M483" i="6"/>
  <c r="N483" i="6" s="1"/>
  <c r="M160" i="6"/>
  <c r="N160" i="6" s="1"/>
  <c r="M381" i="6"/>
  <c r="N381" i="6" s="1"/>
  <c r="M339" i="6"/>
  <c r="N339" i="6" s="1"/>
  <c r="M527" i="6"/>
  <c r="N527" i="6" s="1"/>
  <c r="M242" i="6"/>
  <c r="N242" i="6" s="1"/>
  <c r="M285" i="6"/>
  <c r="N285" i="6" s="1"/>
  <c r="M522" i="6"/>
  <c r="N522" i="6" s="1"/>
  <c r="M238" i="6"/>
  <c r="N238" i="6" s="1"/>
  <c r="M426" i="6"/>
  <c r="N426" i="6" s="1"/>
  <c r="M51" i="6"/>
  <c r="N51" i="6" s="1"/>
  <c r="M518" i="6"/>
  <c r="N518" i="6" s="1"/>
  <c r="M473" i="6"/>
  <c r="N473" i="6" s="1"/>
  <c r="M13" i="6"/>
  <c r="N13" i="6" s="1"/>
  <c r="N232" i="6"/>
  <c r="M513" i="6"/>
  <c r="N513" i="6" s="1"/>
  <c r="M144" i="6"/>
  <c r="N144" i="6" s="1"/>
  <c r="M231" i="6"/>
  <c r="N231" i="6" s="1"/>
  <c r="M228" i="6"/>
  <c r="N228" i="6" s="1"/>
  <c r="M11" i="6"/>
  <c r="N11" i="6" s="1"/>
  <c r="M227" i="6"/>
  <c r="N227" i="6" s="1"/>
  <c r="M141" i="6"/>
  <c r="N141" i="6" s="1"/>
  <c r="M464" i="6"/>
  <c r="N464" i="6" s="1"/>
  <c r="M462" i="6"/>
  <c r="N462" i="6" s="1"/>
  <c r="M94" i="6"/>
  <c r="N94" i="6" s="1"/>
  <c r="M461" i="6"/>
  <c r="N461" i="6" s="1"/>
  <c r="M43" i="6"/>
  <c r="N43" i="6" s="1"/>
  <c r="M508" i="6"/>
  <c r="N508" i="6" s="1"/>
  <c r="M8" i="6"/>
  <c r="N8" i="6" s="1"/>
  <c r="M88" i="6"/>
  <c r="N88" i="6" s="1"/>
  <c r="M364" i="6"/>
  <c r="N364" i="6" s="1"/>
  <c r="M87" i="6"/>
  <c r="N87" i="6" s="1"/>
  <c r="M315" i="6"/>
  <c r="N315" i="6" s="1"/>
  <c r="M184" i="6"/>
  <c r="N184" i="6" s="1"/>
  <c r="M361" i="6"/>
  <c r="N361" i="6" s="1"/>
  <c r="M86" i="6"/>
  <c r="N86" i="6" s="1"/>
  <c r="M313" i="6"/>
  <c r="N313" i="6" s="1"/>
  <c r="M359" i="6"/>
  <c r="N359" i="6" s="1"/>
  <c r="M5" i="6"/>
  <c r="N5" i="6" s="1"/>
  <c r="M310" i="6"/>
  <c r="N310" i="6" s="1"/>
  <c r="M130" i="6"/>
  <c r="N130" i="6" s="1"/>
  <c r="M357" i="6"/>
  <c r="N357" i="6" s="1"/>
  <c r="M36" i="6"/>
  <c r="N36" i="6" s="1"/>
  <c r="M403" i="6"/>
  <c r="N403" i="6" s="1"/>
  <c r="M82" i="6"/>
  <c r="N82" i="6" s="1"/>
  <c r="M256" i="6"/>
  <c r="N256" i="6" s="1"/>
  <c r="M179" i="6"/>
  <c r="N179" i="6" s="1"/>
  <c r="M526" i="6"/>
  <c r="N526" i="6" s="1"/>
  <c r="M243" i="6"/>
  <c r="N243" i="6" s="1"/>
  <c r="M334" i="6"/>
  <c r="N334" i="6" s="1"/>
  <c r="M479" i="6"/>
  <c r="N479" i="6" s="1"/>
  <c r="M54" i="6"/>
  <c r="N54" i="6" s="1"/>
  <c r="M153" i="6"/>
  <c r="N153" i="6" s="1"/>
  <c r="M425" i="6"/>
  <c r="N425" i="6" s="1"/>
  <c r="M236" i="6"/>
  <c r="N236" i="6" s="1"/>
  <c r="M149" i="6"/>
  <c r="N149" i="6" s="1"/>
  <c r="M514" i="6"/>
  <c r="N514" i="6" s="1"/>
  <c r="M190" i="6"/>
  <c r="N190" i="6" s="1"/>
  <c r="M7" i="6"/>
  <c r="N7" i="6" s="1"/>
  <c r="M344" i="6"/>
  <c r="N344" i="6" s="1"/>
  <c r="N386" i="6"/>
  <c r="N531" i="6"/>
  <c r="M46" i="6"/>
  <c r="N46" i="6" s="1"/>
  <c r="M229" i="6"/>
  <c r="N229" i="6" s="1"/>
  <c r="M374" i="6"/>
  <c r="N374" i="6" s="1"/>
  <c r="M413" i="6"/>
  <c r="N413" i="6" s="1"/>
  <c r="N372" i="6"/>
  <c r="M96" i="6"/>
  <c r="N96" i="6" s="1"/>
  <c r="M411" i="6"/>
  <c r="N411" i="6" s="1"/>
  <c r="M457" i="6"/>
  <c r="N457" i="6" s="1"/>
  <c r="M455" i="6"/>
  <c r="N455" i="6" s="1"/>
  <c r="M218" i="6"/>
  <c r="N218" i="6" s="1"/>
  <c r="M407" i="6"/>
  <c r="N407" i="6" s="1"/>
  <c r="M131" i="6"/>
  <c r="N131" i="6" s="1"/>
  <c r="M37" i="6"/>
  <c r="N37" i="6" s="1"/>
  <c r="M496" i="6"/>
  <c r="N496" i="6" s="1"/>
  <c r="M128" i="6"/>
  <c r="N128" i="6" s="1"/>
  <c r="M401" i="6"/>
  <c r="N401" i="6" s="1"/>
  <c r="M354" i="6"/>
  <c r="N354" i="6" s="1"/>
  <c r="M554" i="6"/>
  <c r="N554" i="6" s="1"/>
  <c r="M553" i="6"/>
  <c r="N553" i="6" s="1"/>
  <c r="M448" i="6"/>
  <c r="N448" i="6" s="1"/>
  <c r="M551" i="6"/>
  <c r="N551" i="6" s="1"/>
  <c r="M550" i="6"/>
  <c r="N550" i="6" s="1"/>
  <c r="M254" i="6"/>
  <c r="N254" i="6" s="1"/>
  <c r="M77" i="6"/>
  <c r="N77" i="6" s="1"/>
  <c r="M253" i="6"/>
  <c r="N253" i="6" s="1"/>
  <c r="M444" i="6"/>
  <c r="N444" i="6" s="1"/>
  <c r="M123" i="6"/>
  <c r="N123" i="6" s="1"/>
  <c r="M206" i="6"/>
  <c r="N206" i="6" s="1"/>
  <c r="M350" i="6"/>
  <c r="N350" i="6" s="1"/>
  <c r="M29" i="6"/>
  <c r="N29" i="6" s="1"/>
  <c r="M544" i="6"/>
  <c r="N544" i="6" s="1"/>
  <c r="M71" i="6"/>
  <c r="N71" i="6" s="1"/>
  <c r="M441" i="6"/>
  <c r="N441" i="6" s="1"/>
  <c r="M168" i="6"/>
  <c r="N168" i="6" s="1"/>
  <c r="M119" i="6"/>
  <c r="N119" i="6" s="1"/>
  <c r="M166" i="6"/>
  <c r="N166" i="6" s="1"/>
  <c r="M389" i="6"/>
  <c r="N389" i="6" s="1"/>
  <c r="M69" i="6"/>
  <c r="N69" i="6" s="1"/>
  <c r="M196" i="6"/>
  <c r="N196" i="6" s="1"/>
  <c r="M430" i="6"/>
  <c r="N430" i="6" s="1"/>
  <c r="M337" i="6"/>
  <c r="N337" i="6" s="1"/>
  <c r="M525" i="6"/>
  <c r="N525" i="6" s="1"/>
  <c r="M195" i="6"/>
  <c r="N195" i="6" s="1"/>
  <c r="M105" i="6"/>
  <c r="N105" i="6" s="1"/>
  <c r="M379" i="6"/>
  <c r="N379" i="6" s="1"/>
  <c r="M241" i="6"/>
  <c r="N241" i="6" s="1"/>
  <c r="M239" i="6"/>
  <c r="N239" i="6" s="1"/>
  <c r="M429" i="6"/>
  <c r="N429" i="6" s="1"/>
  <c r="M480" i="6"/>
  <c r="N480" i="6" s="1"/>
  <c r="M193" i="6"/>
  <c r="N193" i="6" s="1"/>
  <c r="M282" i="6"/>
  <c r="N282" i="6" s="1"/>
  <c r="M478" i="6"/>
  <c r="N478" i="6" s="1"/>
  <c r="M192" i="6"/>
  <c r="N192" i="6" s="1"/>
  <c r="M103" i="6"/>
  <c r="N103" i="6" s="1"/>
  <c r="M519" i="6"/>
  <c r="N519" i="6" s="1"/>
  <c r="M52" i="6"/>
  <c r="N52" i="6" s="1"/>
  <c r="M476" i="6"/>
  <c r="N476" i="6" s="1"/>
  <c r="M15" i="6"/>
  <c r="N15" i="6" s="1"/>
  <c r="M279" i="6"/>
  <c r="N279" i="6" s="1"/>
  <c r="M150" i="6"/>
  <c r="N150" i="6" s="1"/>
  <c r="M517" i="6"/>
  <c r="N517" i="6" s="1"/>
  <c r="M278" i="6"/>
  <c r="N278" i="6" s="1"/>
  <c r="M474" i="6"/>
  <c r="N474" i="6" s="1"/>
  <c r="M234" i="6"/>
  <c r="N234" i="6" s="1"/>
  <c r="M233" i="6"/>
  <c r="N233" i="6" s="1"/>
  <c r="M148" i="6"/>
  <c r="N148" i="6" s="1"/>
  <c r="M147" i="6"/>
  <c r="N147" i="6" s="1"/>
  <c r="M273" i="6"/>
  <c r="N273" i="6" s="1"/>
  <c r="M422" i="6"/>
  <c r="N422" i="6" s="1"/>
  <c r="M100" i="6"/>
  <c r="N100" i="6" s="1"/>
  <c r="M189" i="6"/>
  <c r="N189" i="6" s="1"/>
  <c r="M419" i="6"/>
  <c r="N419" i="6" s="1"/>
  <c r="M327" i="6"/>
  <c r="N327" i="6" s="1"/>
  <c r="M375" i="6"/>
  <c r="N375" i="6" s="1"/>
  <c r="M470" i="6"/>
  <c r="N470" i="6" s="1"/>
  <c r="M469" i="6"/>
  <c r="N469" i="6" s="1"/>
  <c r="M512" i="6"/>
  <c r="N512" i="6" s="1"/>
  <c r="M467" i="6"/>
  <c r="N467" i="6" s="1"/>
  <c r="M226" i="6"/>
  <c r="N226" i="6" s="1"/>
  <c r="M140" i="6"/>
  <c r="N140" i="6" s="1"/>
  <c r="M270" i="6"/>
  <c r="N270" i="6" s="1"/>
  <c r="M412" i="6"/>
  <c r="N412" i="6" s="1"/>
  <c r="M44" i="6"/>
  <c r="N44" i="6" s="1"/>
  <c r="M139" i="6"/>
  <c r="N139" i="6" s="1"/>
  <c r="M187" i="6"/>
  <c r="N187" i="6" s="1"/>
  <c r="M10" i="6"/>
  <c r="N10" i="6" s="1"/>
  <c r="M269" i="6"/>
  <c r="N269" i="6" s="1"/>
  <c r="M370" i="6"/>
  <c r="N370" i="6" s="1"/>
  <c r="M186" i="6"/>
  <c r="N186" i="6" s="1"/>
  <c r="M92" i="6"/>
  <c r="N92" i="6" s="1"/>
  <c r="M410" i="6"/>
  <c r="N410" i="6" s="1"/>
  <c r="M91" i="6"/>
  <c r="N91" i="6" s="1"/>
  <c r="M90" i="6"/>
  <c r="N90" i="6" s="1"/>
  <c r="M319" i="6"/>
  <c r="N319" i="6" s="1"/>
  <c r="M456" i="6"/>
  <c r="N456" i="6" s="1"/>
  <c r="M264" i="6"/>
  <c r="N264" i="6" s="1"/>
  <c r="M366" i="6"/>
  <c r="N366" i="6" s="1"/>
  <c r="M317" i="6"/>
  <c r="N317" i="6" s="1"/>
  <c r="M506" i="6"/>
  <c r="N506" i="6" s="1"/>
  <c r="M408" i="6"/>
  <c r="N408" i="6" s="1"/>
  <c r="M505" i="6"/>
  <c r="N505" i="6" s="1"/>
  <c r="M217" i="6"/>
  <c r="N217" i="6" s="1"/>
  <c r="M503" i="6"/>
  <c r="N503" i="6" s="1"/>
  <c r="M362" i="6"/>
  <c r="N362" i="6" s="1"/>
  <c r="M214" i="6"/>
  <c r="N214" i="6" s="1"/>
  <c r="M133" i="6"/>
  <c r="N133" i="6" s="1"/>
  <c r="M452" i="6"/>
  <c r="N452" i="6" s="1"/>
  <c r="M6" i="6"/>
  <c r="N6" i="6" s="1"/>
  <c r="M183" i="6"/>
  <c r="N183" i="6" s="1"/>
  <c r="M261" i="6"/>
  <c r="N261" i="6" s="1"/>
  <c r="M406" i="6"/>
  <c r="N406" i="6" s="1"/>
  <c r="M260" i="6"/>
  <c r="N260" i="6" s="1"/>
  <c r="M309" i="6"/>
  <c r="N309" i="6" s="1"/>
  <c r="M498" i="6"/>
  <c r="N498" i="6" s="1"/>
  <c r="M405" i="6"/>
  <c r="N405" i="6" s="1"/>
  <c r="M497" i="6"/>
  <c r="N497" i="6" s="1"/>
  <c r="M212" i="6"/>
  <c r="N212" i="6" s="1"/>
  <c r="M307" i="6"/>
  <c r="N307" i="6" s="1"/>
  <c r="M258" i="6"/>
  <c r="N258" i="6" s="1"/>
  <c r="M257" i="6"/>
  <c r="N257" i="6" s="1"/>
  <c r="M211" i="6"/>
  <c r="N211" i="6" s="1"/>
  <c r="M255" i="6"/>
  <c r="N255" i="6" s="1"/>
  <c r="M450" i="6"/>
  <c r="N450" i="6" s="1"/>
  <c r="M67" i="6"/>
  <c r="N67" i="6" s="1"/>
  <c r="M509" i="6"/>
  <c r="N509" i="6" s="1"/>
  <c r="M404" i="6"/>
  <c r="N404" i="6" s="1"/>
  <c r="N26" i="6"/>
  <c r="N385" i="6"/>
  <c r="N383" i="6"/>
  <c r="N432" i="6"/>
  <c r="M30" i="6"/>
  <c r="N30" i="6" s="1"/>
  <c r="M72" i="6"/>
  <c r="N72" i="6" s="1"/>
  <c r="M392" i="6"/>
  <c r="N392" i="6" s="1"/>
  <c r="M203" i="6"/>
  <c r="N203" i="6" s="1"/>
  <c r="M249" i="6"/>
  <c r="N249" i="6" s="1"/>
  <c r="M346" i="6"/>
  <c r="N346" i="6" s="1"/>
  <c r="N202" i="6"/>
  <c r="M537" i="6"/>
  <c r="N537" i="6" s="1"/>
  <c r="M387" i="6"/>
  <c r="N387" i="6" s="1"/>
  <c r="M485" i="6"/>
  <c r="N485" i="6" s="1"/>
  <c r="N111" i="6"/>
  <c r="M437" i="6"/>
  <c r="N437" i="6" s="1"/>
  <c r="M535" i="6"/>
  <c r="N535" i="6" s="1"/>
  <c r="M61" i="6"/>
  <c r="N61" i="6" s="1"/>
  <c r="M382" i="6"/>
  <c r="N382" i="6" s="1"/>
  <c r="M340" i="6"/>
  <c r="N340" i="6" s="1"/>
  <c r="M245" i="6"/>
  <c r="N245" i="6" s="1"/>
  <c r="M176" i="6"/>
  <c r="N176" i="6" s="1"/>
  <c r="M542" i="6"/>
  <c r="N542" i="6" s="1"/>
  <c r="M342" i="6"/>
  <c r="N342" i="6" s="1"/>
  <c r="M417" i="6"/>
  <c r="N417" i="6" s="1"/>
  <c r="M219" i="6"/>
  <c r="N219" i="6" s="1"/>
  <c r="N162" i="6"/>
  <c r="N248" i="6"/>
  <c r="M447" i="6"/>
  <c r="N447" i="6" s="1"/>
  <c r="M172" i="6"/>
  <c r="N172" i="6" s="1"/>
  <c r="M545" i="6"/>
  <c r="N545" i="6" s="1"/>
  <c r="M120" i="6"/>
  <c r="N120" i="6" s="1"/>
  <c r="M250" i="6"/>
  <c r="N250" i="6" s="1"/>
  <c r="M440" i="6"/>
  <c r="N440" i="6" s="1"/>
  <c r="M538" i="6"/>
  <c r="N538" i="6" s="1"/>
  <c r="M297" i="6"/>
  <c r="N297" i="6" s="1"/>
  <c r="M65" i="6"/>
  <c r="N65" i="6" s="1"/>
  <c r="M343" i="6"/>
  <c r="N343" i="6" s="1"/>
  <c r="M198" i="6"/>
  <c r="N198" i="6" s="1"/>
  <c r="M197" i="6"/>
  <c r="N197" i="6" s="1"/>
  <c r="M529" i="6"/>
  <c r="N529" i="6" s="1"/>
  <c r="M156" i="6"/>
  <c r="N156" i="6" s="1"/>
  <c r="M335" i="6"/>
  <c r="N335" i="6" s="1"/>
  <c r="M287" i="6"/>
  <c r="N287" i="6" s="1"/>
  <c r="M240" i="6"/>
  <c r="N240" i="6" s="1"/>
  <c r="M523" i="6"/>
  <c r="N523" i="6" s="1"/>
  <c r="M284" i="6"/>
  <c r="N284" i="6" s="1"/>
  <c r="M53" i="6"/>
  <c r="N53" i="6" s="1"/>
  <c r="M102" i="6"/>
  <c r="N102" i="6" s="1"/>
  <c r="M152" i="6"/>
  <c r="N152" i="6" s="1"/>
  <c r="M475" i="6"/>
  <c r="N475" i="6" s="1"/>
  <c r="M516" i="6"/>
  <c r="N516" i="6" s="1"/>
  <c r="M49" i="6"/>
  <c r="N49" i="6" s="1"/>
  <c r="M47" i="6"/>
  <c r="N47" i="6" s="1"/>
  <c r="M191" i="6"/>
  <c r="N191" i="6" s="1"/>
  <c r="M328" i="6"/>
  <c r="N328" i="6" s="1"/>
  <c r="M421" i="6"/>
  <c r="N421" i="6" s="1"/>
  <c r="M468" i="6"/>
  <c r="N468" i="6" s="1"/>
  <c r="M325" i="6"/>
  <c r="N325" i="6" s="1"/>
  <c r="M373" i="6"/>
  <c r="N373" i="6" s="1"/>
  <c r="M511" i="6"/>
  <c r="N511" i="6" s="1"/>
  <c r="M510" i="6"/>
  <c r="N510" i="6" s="1"/>
  <c r="M268" i="6"/>
  <c r="N268" i="6" s="1"/>
  <c r="M368" i="6"/>
  <c r="N368" i="6" s="1"/>
  <c r="M409" i="6"/>
  <c r="N409" i="6" s="1"/>
  <c r="M507" i="6"/>
  <c r="N507" i="6" s="1"/>
  <c r="M137" i="6"/>
  <c r="N137" i="6" s="1"/>
  <c r="M41" i="6"/>
  <c r="N41" i="6" s="1"/>
  <c r="M185" i="6"/>
  <c r="N185" i="6" s="1"/>
  <c r="M363" i="6"/>
  <c r="N363" i="6" s="1"/>
  <c r="M134" i="6"/>
  <c r="N134" i="6" s="1"/>
  <c r="M314" i="6"/>
  <c r="N314" i="6" s="1"/>
  <c r="M502" i="6"/>
  <c r="N502" i="6" s="1"/>
  <c r="M360" i="6"/>
  <c r="N360" i="6" s="1"/>
  <c r="M500" i="6"/>
  <c r="N500" i="6" s="1"/>
  <c r="M129" i="6"/>
  <c r="N129" i="6" s="1"/>
  <c r="M356" i="6"/>
  <c r="N356" i="6" s="1"/>
  <c r="M259" i="6"/>
  <c r="N259" i="6" s="1"/>
  <c r="M81" i="6"/>
  <c r="N81" i="6" s="1"/>
  <c r="M402" i="6"/>
  <c r="N402" i="6" s="1"/>
  <c r="M178" i="6"/>
  <c r="N178" i="6" s="1"/>
  <c r="M80" i="6"/>
  <c r="N80" i="6" s="1"/>
  <c r="M446" i="6"/>
  <c r="N446" i="6" s="1"/>
  <c r="M489" i="6"/>
  <c r="N489" i="6" s="1"/>
  <c r="M304" i="6"/>
  <c r="N304" i="6" s="1"/>
  <c r="M167" i="6"/>
  <c r="N167" i="6" s="1"/>
  <c r="M164" i="6"/>
  <c r="N164" i="6" s="1"/>
  <c r="M66" i="6"/>
  <c r="N66" i="6" s="1"/>
  <c r="M295" i="6"/>
  <c r="N295" i="6" s="1"/>
  <c r="M534" i="6"/>
  <c r="N534" i="6" s="1"/>
  <c r="M532" i="6"/>
  <c r="N532" i="6" s="1"/>
  <c r="M159" i="6"/>
  <c r="N159" i="6" s="1"/>
  <c r="M56" i="6"/>
  <c r="N56" i="6" s="1"/>
  <c r="M106" i="6"/>
  <c r="N106" i="6" s="1"/>
  <c r="M336" i="6"/>
  <c r="N336" i="6" s="1"/>
  <c r="M19" i="6"/>
  <c r="N19" i="6" s="1"/>
  <c r="M333" i="6"/>
  <c r="N333" i="6" s="1"/>
  <c r="M378" i="6"/>
  <c r="N378" i="6" s="1"/>
  <c r="M155" i="6"/>
  <c r="N155" i="6" s="1"/>
  <c r="M154" i="6"/>
  <c r="N154" i="6" s="1"/>
  <c r="M332" i="6"/>
  <c r="N332" i="6" s="1"/>
  <c r="M428" i="6"/>
  <c r="N428" i="6" s="1"/>
  <c r="M424" i="6"/>
  <c r="N424" i="6" s="1"/>
  <c r="M235" i="6"/>
  <c r="N235" i="6" s="1"/>
  <c r="M277" i="6"/>
  <c r="N277" i="6" s="1"/>
  <c r="M48" i="6"/>
  <c r="N48" i="6" s="1"/>
  <c r="M330" i="6"/>
  <c r="N330" i="6" s="1"/>
  <c r="M146" i="6"/>
  <c r="N146" i="6" s="1"/>
  <c r="M12" i="6"/>
  <c r="N12" i="6" s="1"/>
  <c r="M471" i="6"/>
  <c r="N471" i="6" s="1"/>
  <c r="M326" i="6"/>
  <c r="N326" i="6" s="1"/>
  <c r="M418" i="6"/>
  <c r="N418" i="6" s="1"/>
  <c r="M143" i="6"/>
  <c r="N143" i="6" s="1"/>
  <c r="M142" i="6"/>
  <c r="N142" i="6" s="1"/>
  <c r="M414" i="6"/>
  <c r="N414" i="6" s="1"/>
  <c r="M324" i="6"/>
  <c r="N324" i="6" s="1"/>
  <c r="M463" i="6"/>
  <c r="N463" i="6" s="1"/>
  <c r="M224" i="6"/>
  <c r="N224" i="6" s="1"/>
  <c r="M95" i="6"/>
  <c r="N95" i="6" s="1"/>
  <c r="M369" i="6"/>
  <c r="N369" i="6" s="1"/>
  <c r="M267" i="6"/>
  <c r="N267" i="6" s="1"/>
  <c r="M459" i="6"/>
  <c r="N459" i="6" s="1"/>
  <c r="M320" i="6"/>
  <c r="N320" i="6" s="1"/>
  <c r="M42" i="6"/>
  <c r="N42" i="6" s="1"/>
  <c r="M136" i="6"/>
  <c r="N136" i="6" s="1"/>
  <c r="M365" i="6"/>
  <c r="N365" i="6" s="1"/>
  <c r="M504" i="6"/>
  <c r="N504" i="6" s="1"/>
  <c r="M216" i="6"/>
  <c r="N216" i="6" s="1"/>
  <c r="M263" i="6"/>
  <c r="N263" i="6" s="1"/>
  <c r="M262" i="6"/>
  <c r="N262" i="6" s="1"/>
  <c r="M312" i="6"/>
  <c r="N312" i="6" s="1"/>
  <c r="M311" i="6"/>
  <c r="N311" i="6" s="1"/>
  <c r="M182" i="6"/>
  <c r="N182" i="6" s="1"/>
  <c r="M181" i="6"/>
  <c r="N181" i="6" s="1"/>
  <c r="M2" i="6"/>
  <c r="N2" i="6" s="1"/>
  <c r="M83" i="6"/>
  <c r="N83" i="6" s="1"/>
  <c r="M180" i="6"/>
  <c r="N180" i="6" s="1"/>
  <c r="M34" i="6"/>
  <c r="N34" i="6" s="1"/>
  <c r="M353" i="6"/>
  <c r="N353" i="6" s="1"/>
  <c r="M173" i="6"/>
  <c r="N173" i="6" s="1"/>
  <c r="M445" i="6"/>
  <c r="N445" i="6" s="1"/>
  <c r="M32" i="6"/>
  <c r="N32" i="6" s="1"/>
  <c r="M171" i="6"/>
  <c r="N171" i="6" s="1"/>
  <c r="M122" i="6"/>
  <c r="N122" i="6" s="1"/>
  <c r="M443" i="6"/>
  <c r="N443" i="6" s="1"/>
  <c r="M547" i="6"/>
  <c r="N547" i="6" s="1"/>
  <c r="M395" i="6"/>
  <c r="N395" i="6" s="1"/>
  <c r="M121" i="6"/>
  <c r="N121" i="6" s="1"/>
  <c r="M442" i="6"/>
  <c r="N442" i="6" s="1"/>
  <c r="M205" i="6"/>
  <c r="N205" i="6" s="1"/>
  <c r="M70" i="6"/>
  <c r="N70" i="6" s="1"/>
  <c r="M28" i="6"/>
  <c r="N28" i="6" s="1"/>
  <c r="M391" i="6"/>
  <c r="N391" i="6" s="1"/>
  <c r="M27" i="6"/>
  <c r="N27" i="6" s="1"/>
  <c r="M118" i="6"/>
  <c r="N118" i="6" s="1"/>
  <c r="M165" i="6"/>
  <c r="N165" i="6" s="1"/>
  <c r="M163" i="6"/>
  <c r="N163" i="6" s="1"/>
  <c r="M302" i="6"/>
  <c r="N302" i="6" s="1"/>
  <c r="M541" i="6"/>
  <c r="N541" i="6" s="1"/>
  <c r="M388" i="6"/>
  <c r="N388" i="6" s="1"/>
  <c r="M201" i="6"/>
  <c r="N201" i="6" s="1"/>
  <c r="M300" i="6"/>
  <c r="N300" i="6" s="1"/>
  <c r="M114" i="6"/>
  <c r="N114" i="6" s="1"/>
  <c r="M24" i="6"/>
  <c r="N24" i="6" s="1"/>
  <c r="M177" i="6"/>
  <c r="N177" i="6" s="1"/>
  <c r="M449" i="6"/>
  <c r="N449" i="6" s="1"/>
  <c r="M400" i="6"/>
  <c r="N400" i="6" s="1"/>
  <c r="M175" i="6"/>
  <c r="N175" i="6" s="1"/>
  <c r="M209" i="6"/>
  <c r="N209" i="6" s="1"/>
  <c r="M352" i="6"/>
  <c r="N352" i="6" s="1"/>
  <c r="M208" i="6"/>
  <c r="N208" i="6" s="1"/>
  <c r="M492" i="6"/>
  <c r="N492" i="6" s="1"/>
  <c r="M549" i="6"/>
  <c r="N549" i="6" s="1"/>
  <c r="M548" i="6"/>
  <c r="N548" i="6" s="1"/>
  <c r="M124" i="6"/>
  <c r="N124" i="6" s="1"/>
  <c r="M490" i="6"/>
  <c r="N490" i="6" s="1"/>
  <c r="M75" i="6"/>
  <c r="N75" i="6" s="1"/>
  <c r="M31" i="6"/>
  <c r="N31" i="6" s="1"/>
  <c r="M170" i="6"/>
  <c r="N170" i="6" s="1"/>
  <c r="M396" i="6"/>
  <c r="N396" i="6" s="1"/>
  <c r="M169" i="6"/>
  <c r="N169" i="6" s="1"/>
  <c r="M252" i="6"/>
  <c r="N252" i="6" s="1"/>
  <c r="M73" i="6"/>
  <c r="N73" i="6" s="1"/>
  <c r="M488" i="6"/>
  <c r="N488" i="6" s="1"/>
  <c r="M394" i="6"/>
  <c r="N394" i="6" s="1"/>
  <c r="M543" i="6"/>
  <c r="N543" i="6" s="1"/>
  <c r="M349" i="6"/>
  <c r="N349" i="6" s="1"/>
  <c r="M251" i="6"/>
  <c r="N251" i="6" s="1"/>
  <c r="M303" i="6"/>
  <c r="N303" i="6" s="1"/>
  <c r="M390" i="6"/>
  <c r="N390" i="6" s="1"/>
  <c r="M348" i="6"/>
  <c r="N348" i="6" s="1"/>
  <c r="M487" i="6"/>
  <c r="N487" i="6" s="1"/>
  <c r="M117" i="6"/>
  <c r="N117" i="6" s="1"/>
  <c r="M116" i="6"/>
  <c r="N116" i="6" s="1"/>
  <c r="M540" i="6"/>
  <c r="N540" i="6" s="1"/>
  <c r="M25" i="6"/>
  <c r="N25" i="6" s="1"/>
  <c r="M301" i="6"/>
  <c r="N301" i="6" s="1"/>
  <c r="M115" i="6"/>
  <c r="N115" i="6" s="1"/>
  <c r="M486" i="6"/>
  <c r="N486" i="6" s="1"/>
  <c r="M298" i="6"/>
  <c r="N298" i="6" s="1"/>
  <c r="M439" i="6"/>
  <c r="N439" i="6" s="1"/>
  <c r="M112" i="6"/>
  <c r="N112" i="6" s="1"/>
  <c r="M484" i="6"/>
  <c r="N484" i="6" s="1"/>
  <c r="M64" i="6"/>
  <c r="N64" i="6" s="1"/>
  <c r="M110" i="6"/>
  <c r="N110" i="6" s="1"/>
  <c r="M536" i="6"/>
  <c r="N536" i="6" s="1"/>
  <c r="M294" i="6"/>
  <c r="N294" i="6" s="1"/>
  <c r="M161" i="6"/>
  <c r="N161" i="6" s="1"/>
  <c r="M435" i="6"/>
  <c r="N435" i="6" s="1"/>
  <c r="M60" i="6"/>
  <c r="N60" i="6" s="1"/>
  <c r="M434" i="6"/>
  <c r="N434" i="6" s="1"/>
  <c r="M341" i="6"/>
  <c r="N341" i="6" s="1"/>
  <c r="M433" i="6"/>
  <c r="N433" i="6" s="1"/>
  <c r="M59" i="6"/>
  <c r="N59" i="6" s="1"/>
  <c r="M291" i="6"/>
  <c r="N291" i="6" s="1"/>
  <c r="M57" i="6"/>
  <c r="N57" i="6" s="1"/>
  <c r="M380" i="6"/>
  <c r="N380" i="6" s="1"/>
  <c r="M244" i="6"/>
  <c r="N244" i="6" s="1"/>
  <c r="M290" i="6"/>
  <c r="N290" i="6" s="1"/>
  <c r="M528" i="6"/>
  <c r="N528" i="6" s="1"/>
  <c r="M288" i="6"/>
  <c r="N288" i="6" s="1"/>
  <c r="M524" i="6"/>
  <c r="N524" i="6" s="1"/>
  <c r="M55" i="6"/>
  <c r="N55" i="6" s="1"/>
  <c r="M194" i="6"/>
  <c r="N194" i="6" s="1"/>
  <c r="M377" i="6"/>
  <c r="N377" i="6" s="1"/>
  <c r="M521" i="6"/>
  <c r="N521" i="6" s="1"/>
  <c r="M520" i="6"/>
  <c r="N520" i="6" s="1"/>
  <c r="M427" i="6"/>
  <c r="N427" i="6" s="1"/>
  <c r="M280" i="6"/>
  <c r="N280" i="6" s="1"/>
  <c r="M14" i="6"/>
  <c r="N14" i="6" s="1"/>
  <c r="M276" i="6"/>
  <c r="N276" i="6" s="1"/>
  <c r="M274" i="6"/>
  <c r="N274" i="6" s="1"/>
  <c r="M423" i="6"/>
  <c r="N423" i="6" s="1"/>
  <c r="M329" i="6"/>
  <c r="N329" i="6" s="1"/>
  <c r="M272" i="6"/>
  <c r="N272" i="6" s="1"/>
  <c r="M188" i="6"/>
  <c r="N188" i="6" s="1"/>
  <c r="M98" i="6"/>
  <c r="N98" i="6" s="1"/>
  <c r="M415" i="6"/>
  <c r="N415" i="6" s="1"/>
  <c r="M97" i="6"/>
  <c r="N97" i="6" s="1"/>
  <c r="M465" i="6"/>
  <c r="N465" i="6" s="1"/>
  <c r="M225" i="6"/>
  <c r="N225" i="6" s="1"/>
  <c r="M223" i="6"/>
  <c r="N223" i="6" s="1"/>
  <c r="M93" i="6"/>
  <c r="N93" i="6" s="1"/>
  <c r="M460" i="6"/>
  <c r="N460" i="6" s="1"/>
  <c r="M321" i="6"/>
  <c r="N321" i="6" s="1"/>
  <c r="M266" i="6"/>
  <c r="N266" i="6" s="1"/>
  <c r="M138" i="6"/>
  <c r="N138" i="6" s="1"/>
  <c r="M318" i="6"/>
  <c r="N318" i="6" s="1"/>
  <c r="M39" i="6"/>
  <c r="N39" i="6" s="1"/>
  <c r="M454" i="6"/>
  <c r="N454" i="6" s="1"/>
  <c r="M38" i="6"/>
  <c r="N38" i="6" s="1"/>
  <c r="M215" i="6"/>
  <c r="N215" i="6" s="1"/>
  <c r="M132" i="6"/>
  <c r="N132" i="6" s="1"/>
  <c r="M213" i="6"/>
  <c r="N213" i="6" s="1"/>
  <c r="M501" i="6"/>
  <c r="N501" i="6" s="1"/>
  <c r="M499" i="6"/>
  <c r="N499" i="6" s="1"/>
  <c r="M3" i="6"/>
  <c r="N3" i="6" s="1"/>
  <c r="M308" i="6"/>
  <c r="N308" i="6" s="1"/>
  <c r="M355" i="6"/>
  <c r="N355" i="6" s="1"/>
  <c r="M494" i="6"/>
  <c r="N494" i="6" s="1"/>
  <c r="M451" i="6"/>
  <c r="N451"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B36469-266B-45E5-BEAB-2642D0A9281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9494B94-7A13-4BC1-B2AC-8ED39E46E58F}" name="WorksheetConnection_sales_data.xlsx!Work" type="102" refreshedVersion="8" minRefreshableVersion="5">
    <extLst>
      <ext xmlns:x15="http://schemas.microsoft.com/office/spreadsheetml/2010/11/main" uri="{DE250136-89BD-433C-8126-D09CA5730AF9}">
        <x15:connection id="Work" autoDelete="1">
          <x15:rangePr sourceName="_xlcn.WorksheetConnection_sales_data.xlsxWork1"/>
        </x15:connection>
      </ext>
    </extLst>
  </connection>
</connections>
</file>

<file path=xl/sharedStrings.xml><?xml version="1.0" encoding="utf-8"?>
<sst xmlns="http://schemas.openxmlformats.org/spreadsheetml/2006/main" count="6810" uniqueCount="590">
  <si>
    <t>Order ID</t>
  </si>
  <si>
    <t>Customer Name</t>
  </si>
  <si>
    <t>Product Category</t>
  </si>
  <si>
    <t>Product Name</t>
  </si>
  <si>
    <t>Order Date</t>
  </si>
  <si>
    <t>Delivered Date</t>
  </si>
  <si>
    <t>Quantity</t>
  </si>
  <si>
    <t>Unit Price</t>
  </si>
  <si>
    <t>Status</t>
  </si>
  <si>
    <t>Country</t>
  </si>
  <si>
    <t>Payment Method</t>
  </si>
  <si>
    <t>Allison Hill</t>
  </si>
  <si>
    <t>Electronics</t>
  </si>
  <si>
    <t>Smartphone</t>
  </si>
  <si>
    <t>Completed</t>
  </si>
  <si>
    <t>Mobile Money</t>
  </si>
  <si>
    <t>Lance Hoffman</t>
  </si>
  <si>
    <t>Books</t>
  </si>
  <si>
    <t>Fiction</t>
  </si>
  <si>
    <t>Credit Card</t>
  </si>
  <si>
    <t>Brent Abbott</t>
  </si>
  <si>
    <t>Apparel</t>
  </si>
  <si>
    <t>Sneakers</t>
  </si>
  <si>
    <t>Edward Fuller</t>
  </si>
  <si>
    <t>Groceries</t>
  </si>
  <si>
    <t>Cereal</t>
  </si>
  <si>
    <t>Melinda Jones</t>
  </si>
  <si>
    <t>Headphones</t>
  </si>
  <si>
    <t>Returned</t>
  </si>
  <si>
    <t>Cash</t>
  </si>
  <si>
    <t>Andrew Stewart</t>
  </si>
  <si>
    <t>Home Decor</t>
  </si>
  <si>
    <t>Vase</t>
  </si>
  <si>
    <t>Nigeria</t>
  </si>
  <si>
    <t>Nicole Patterson</t>
  </si>
  <si>
    <t>Anthony Rodriguez</t>
  </si>
  <si>
    <t>Camera</t>
  </si>
  <si>
    <t>Shannon Smith</t>
  </si>
  <si>
    <t>Milk</t>
  </si>
  <si>
    <t>Pamela Romero</t>
  </si>
  <si>
    <t>T-Shirt</t>
  </si>
  <si>
    <t>Tammy Sellers</t>
  </si>
  <si>
    <t>Curtains</t>
  </si>
  <si>
    <t>Joseph Obrien</t>
  </si>
  <si>
    <t>Children's Book</t>
  </si>
  <si>
    <t>Austin Smith</t>
  </si>
  <si>
    <t>Bank Transfer</t>
  </si>
  <si>
    <t>David Caldwell</t>
  </si>
  <si>
    <t>Matthew Gomez</t>
  </si>
  <si>
    <t>Maria Brown</t>
  </si>
  <si>
    <t>Wall Art</t>
  </si>
  <si>
    <t>Clifford Ford</t>
  </si>
  <si>
    <t>Dress</t>
  </si>
  <si>
    <t>Tammy Allison</t>
  </si>
  <si>
    <t>Jeans</t>
  </si>
  <si>
    <t>Rachel Gibson</t>
  </si>
  <si>
    <t>Biography</t>
  </si>
  <si>
    <t>Lauren Daniels</t>
  </si>
  <si>
    <t>Laptop</t>
  </si>
  <si>
    <t>Amanda Miller</t>
  </si>
  <si>
    <t>Cookbook</t>
  </si>
  <si>
    <t>Michael Evans</t>
  </si>
  <si>
    <t>Angel Lewis MD</t>
  </si>
  <si>
    <t>Joshua Turner</t>
  </si>
  <si>
    <t>Non-Fiction</t>
  </si>
  <si>
    <t>Douglas Clark</t>
  </si>
  <si>
    <t>Kimberly Davenport</t>
  </si>
  <si>
    <t>Richard Rodriguez</t>
  </si>
  <si>
    <t>Matthew Ross</t>
  </si>
  <si>
    <t>Victoria Johnson</t>
  </si>
  <si>
    <t>Juice</t>
  </si>
  <si>
    <t>Stephanie Lee</t>
  </si>
  <si>
    <t>Benjamin Beck</t>
  </si>
  <si>
    <t>Stephanie Gilbert</t>
  </si>
  <si>
    <t>Jeffrey Carpenter</t>
  </si>
  <si>
    <t>Curtis Johnson</t>
  </si>
  <si>
    <t>Table Lamp</t>
  </si>
  <si>
    <t>Michael Snyder</t>
  </si>
  <si>
    <t>Melissa Marshall</t>
  </si>
  <si>
    <t>Cushion</t>
  </si>
  <si>
    <t>Michelle Wagner</t>
  </si>
  <si>
    <t>Sara Ramirez</t>
  </si>
  <si>
    <t>George Orozco</t>
  </si>
  <si>
    <t>Jacket</t>
  </si>
  <si>
    <t>Joshua Perry</t>
  </si>
  <si>
    <t>Aaron Bell</t>
  </si>
  <si>
    <t>Stephanie Freeman</t>
  </si>
  <si>
    <t>Rebecca Ramsey</t>
  </si>
  <si>
    <t>Mary Miller</t>
  </si>
  <si>
    <t>Andre Wright</t>
  </si>
  <si>
    <t>Jeffrey Wood</t>
  </si>
  <si>
    <t>Samuel Rivas</t>
  </si>
  <si>
    <t>Daniel Salinas</t>
  </si>
  <si>
    <t>Michael West</t>
  </si>
  <si>
    <t>Elizabeth Ward</t>
  </si>
  <si>
    <t>Kristen Terry</t>
  </si>
  <si>
    <t>Tablet</t>
  </si>
  <si>
    <t>David Grant</t>
  </si>
  <si>
    <t>Kevin Patterson</t>
  </si>
  <si>
    <t>Juan Moore</t>
  </si>
  <si>
    <t>Pasta</t>
  </si>
  <si>
    <t>Dwayne Campbell</t>
  </si>
  <si>
    <t>Samantha Morse</t>
  </si>
  <si>
    <t>Kathryn Snyder</t>
  </si>
  <si>
    <t>Alicia Hubbard</t>
  </si>
  <si>
    <t>Tanya Kim</t>
  </si>
  <si>
    <t>Bruce Collier</t>
  </si>
  <si>
    <t>Kimberly Gibson</t>
  </si>
  <si>
    <t>Reginald Williams</t>
  </si>
  <si>
    <t>Amanda Shaw</t>
  </si>
  <si>
    <t>Alexis Thomas</t>
  </si>
  <si>
    <t>Sarah Villarreal</t>
  </si>
  <si>
    <t>Cynthia Cohen</t>
  </si>
  <si>
    <t>Michele Garcia</t>
  </si>
  <si>
    <t>Joel King</t>
  </si>
  <si>
    <t>Rice</t>
  </si>
  <si>
    <t>Brooke Alexander</t>
  </si>
  <si>
    <t>Ann Phillips</t>
  </si>
  <si>
    <t>Richard Smith</t>
  </si>
  <si>
    <t>David Johnson</t>
  </si>
  <si>
    <t>Elizabeth Ortiz</t>
  </si>
  <si>
    <t>Teresa Ramirez</t>
  </si>
  <si>
    <t>Michael Stephens</t>
  </si>
  <si>
    <t>Kristen Willis</t>
  </si>
  <si>
    <t>Rebecca Rodriguez</t>
  </si>
  <si>
    <t>Jessica Rodriguez DDS</t>
  </si>
  <si>
    <t>Donald Schultz</t>
  </si>
  <si>
    <t>Emily Edwards</t>
  </si>
  <si>
    <t>Anna Davis</t>
  </si>
  <si>
    <t>Jordan Moore</t>
  </si>
  <si>
    <t>Phillip Andrews</t>
  </si>
  <si>
    <t>Christopher Park</t>
  </si>
  <si>
    <t>Andrea Figueroa</t>
  </si>
  <si>
    <t>Karla Ramos</t>
  </si>
  <si>
    <t>Michael Watkins</t>
  </si>
  <si>
    <t>Eric Clark</t>
  </si>
  <si>
    <t>Thomas Atkins</t>
  </si>
  <si>
    <t>Alex Nguyen</t>
  </si>
  <si>
    <t>Kelly Foster</t>
  </si>
  <si>
    <t>Kerry Lee</t>
  </si>
  <si>
    <t>Rebecca Vargas</t>
  </si>
  <si>
    <t>John Hernandez</t>
  </si>
  <si>
    <t>Katelyn Perez</t>
  </si>
  <si>
    <t>George Miranda</t>
  </si>
  <si>
    <t>Jackson Ball</t>
  </si>
  <si>
    <t>Vincent Mueller</t>
  </si>
  <si>
    <t>Tracy Montoya</t>
  </si>
  <si>
    <t>Phillip Nelson</t>
  </si>
  <si>
    <t>Jonathan Young</t>
  </si>
  <si>
    <t>Howard Norman</t>
  </si>
  <si>
    <t>Stephanie Hughes</t>
  </si>
  <si>
    <t>Samantha Gardner</t>
  </si>
  <si>
    <t>William Gould</t>
  </si>
  <si>
    <t>Laura Moreno</t>
  </si>
  <si>
    <t>Kathryn Hughes</t>
  </si>
  <si>
    <t>Benjamin Thompson</t>
  </si>
  <si>
    <t>Betty Shaw</t>
  </si>
  <si>
    <t>Todd Jacobson</t>
  </si>
  <si>
    <t>Martin Vargas</t>
  </si>
  <si>
    <t>Travis Wise</t>
  </si>
  <si>
    <t>Stephen Gardner</t>
  </si>
  <si>
    <t>Jesse Barker</t>
  </si>
  <si>
    <t>James Gilbert</t>
  </si>
  <si>
    <t>Shawn Jimenez</t>
  </si>
  <si>
    <t>Kyle Cameron</t>
  </si>
  <si>
    <t>Monica Gallagher</t>
  </si>
  <si>
    <t>Brent Brooks</t>
  </si>
  <si>
    <t>Brenda Velazquez</t>
  </si>
  <si>
    <t>Katie Hicks</t>
  </si>
  <si>
    <t>Veronica Silva</t>
  </si>
  <si>
    <t>Michelle Hampton</t>
  </si>
  <si>
    <t>Ashley Smith</t>
  </si>
  <si>
    <t>Gloria Gomez</t>
  </si>
  <si>
    <t>Courtney Dudley</t>
  </si>
  <si>
    <t>Timothy Pope</t>
  </si>
  <si>
    <t>Tina Ballard</t>
  </si>
  <si>
    <t>Anthony Stein</t>
  </si>
  <si>
    <t>Matthew Velez</t>
  </si>
  <si>
    <t>Alexandra Bradley</t>
  </si>
  <si>
    <t>Nicole Thompson</t>
  </si>
  <si>
    <t>Stacy Carrillo</t>
  </si>
  <si>
    <t>Justin Brown</t>
  </si>
  <si>
    <t>Steven Griffin Jr.</t>
  </si>
  <si>
    <t>Aaron Robinson</t>
  </si>
  <si>
    <t>Jason Mack</t>
  </si>
  <si>
    <t>Michael Stanley</t>
  </si>
  <si>
    <t>Julie Ball</t>
  </si>
  <si>
    <t>Donald Pineda</t>
  </si>
  <si>
    <t>Jill Powers</t>
  </si>
  <si>
    <t>Donna Cabrera</t>
  </si>
  <si>
    <t>Jason Hernandez</t>
  </si>
  <si>
    <t>Michael Shaffer</t>
  </si>
  <si>
    <t>Kristin Mendoza</t>
  </si>
  <si>
    <t>Jose Crawford</t>
  </si>
  <si>
    <t>Connie Thomas</t>
  </si>
  <si>
    <t>Robert Jackson</t>
  </si>
  <si>
    <t>Kelly Combs</t>
  </si>
  <si>
    <t>Antonio Little</t>
  </si>
  <si>
    <t>James Tran</t>
  </si>
  <si>
    <t>Tamara Hall</t>
  </si>
  <si>
    <t>Jennifer Ayala</t>
  </si>
  <si>
    <t>Kevin James</t>
  </si>
  <si>
    <t>Derrick Adams</t>
  </si>
  <si>
    <t>Michelle Simpson</t>
  </si>
  <si>
    <t>Scott Alexander</t>
  </si>
  <si>
    <t>Ernest Oconnell</t>
  </si>
  <si>
    <t>Randall Johnson</t>
  </si>
  <si>
    <t>Ryan Pope</t>
  </si>
  <si>
    <t>Jay Bennett</t>
  </si>
  <si>
    <t>Lonnie Hart</t>
  </si>
  <si>
    <t>Eric Patrick</t>
  </si>
  <si>
    <t>Rhonda Brown</t>
  </si>
  <si>
    <t>Emily Price</t>
  </si>
  <si>
    <t>Jill Jackson</t>
  </si>
  <si>
    <t>Ashley Wilson</t>
  </si>
  <si>
    <t>Ashley Greer PhD</t>
  </si>
  <si>
    <t>Charles Clark</t>
  </si>
  <si>
    <t>Brandi Thomas</t>
  </si>
  <si>
    <t>Mark Burton</t>
  </si>
  <si>
    <t>Paul Neal</t>
  </si>
  <si>
    <t>Raymond Oconnor</t>
  </si>
  <si>
    <t>Aaron Rubio</t>
  </si>
  <si>
    <t>Steven Martin</t>
  </si>
  <si>
    <t>Jennifer Anderson MD</t>
  </si>
  <si>
    <t>Emily Taylor</t>
  </si>
  <si>
    <t>Matthew Bowers</t>
  </si>
  <si>
    <t>Samantha Green</t>
  </si>
  <si>
    <t>Jesse Ward</t>
  </si>
  <si>
    <t>Tyler Johnson</t>
  </si>
  <si>
    <t>Patricia Collins</t>
  </si>
  <si>
    <t>Jacob Bonilla</t>
  </si>
  <si>
    <t>Anthony Shea DDS</t>
  </si>
  <si>
    <t>Kathy Walsh</t>
  </si>
  <si>
    <t>Cynthia Green</t>
  </si>
  <si>
    <t>Melissa Williams</t>
  </si>
  <si>
    <t>Anthony Evans</t>
  </si>
  <si>
    <t>Antonio Norman</t>
  </si>
  <si>
    <t>Kenneth Underwood</t>
  </si>
  <si>
    <t>Danielle Phillips</t>
  </si>
  <si>
    <t>Curtis Wilkerson</t>
  </si>
  <si>
    <t>Kathryn Price</t>
  </si>
  <si>
    <t>Kevin Hall</t>
  </si>
  <si>
    <t>Kristy Hart</t>
  </si>
  <si>
    <t>Joseph Smith</t>
  </si>
  <si>
    <t>Sarah Valencia</t>
  </si>
  <si>
    <t>Patricia Bradley</t>
  </si>
  <si>
    <t>William Jackson</t>
  </si>
  <si>
    <t>Michelle Williams</t>
  </si>
  <si>
    <t>Fernando Lynn</t>
  </si>
  <si>
    <t>Lisa Webb</t>
  </si>
  <si>
    <t>Jennifer Spencer</t>
  </si>
  <si>
    <t>Sara Hernandez</t>
  </si>
  <si>
    <t>Steven Baker</t>
  </si>
  <si>
    <t>Dennis Marshall</t>
  </si>
  <si>
    <t>Cynthia Evans</t>
  </si>
  <si>
    <t>Beth Henderson</t>
  </si>
  <si>
    <t>Thomas Sloan</t>
  </si>
  <si>
    <t>Kara Jackson</t>
  </si>
  <si>
    <t>Steve Rivera</t>
  </si>
  <si>
    <t>Caitlin Collins</t>
  </si>
  <si>
    <t>Corey Whitaker</t>
  </si>
  <si>
    <t>Madison Martinez</t>
  </si>
  <si>
    <t>Penny Lewis</t>
  </si>
  <si>
    <t>Carlos Thompson</t>
  </si>
  <si>
    <t>James Bailey</t>
  </si>
  <si>
    <t>Brian Hunt</t>
  </si>
  <si>
    <t>Sarah Pittman</t>
  </si>
  <si>
    <t>Courtney Walker</t>
  </si>
  <si>
    <t>Edward York</t>
  </si>
  <si>
    <t>Steve Mason</t>
  </si>
  <si>
    <t>Penny Anderson</t>
  </si>
  <si>
    <t>Joseph Cross</t>
  </si>
  <si>
    <t>Shawn Collins</t>
  </si>
  <si>
    <t>Joy Meyer</t>
  </si>
  <si>
    <t>Alex Wagner</t>
  </si>
  <si>
    <t>Martha Smith</t>
  </si>
  <si>
    <t>Matthew Bates</t>
  </si>
  <si>
    <t>Autumn Wilson</t>
  </si>
  <si>
    <t>Michael Meadows</t>
  </si>
  <si>
    <t>Sarah Ward</t>
  </si>
  <si>
    <t>Charles Holland</t>
  </si>
  <si>
    <t>Robert White</t>
  </si>
  <si>
    <t>Karen Fisher</t>
  </si>
  <si>
    <t>Jason Williams</t>
  </si>
  <si>
    <t>Vanessa Santiago</t>
  </si>
  <si>
    <t>Erica Rivera</t>
  </si>
  <si>
    <t>Alicia Powell</t>
  </si>
  <si>
    <t>Brian Prince</t>
  </si>
  <si>
    <t>Janice Petty</t>
  </si>
  <si>
    <t>Nicole Evans</t>
  </si>
  <si>
    <t>Anthony Adams</t>
  </si>
  <si>
    <t>Richard Jennings</t>
  </si>
  <si>
    <t>Douglas Baker</t>
  </si>
  <si>
    <t>Michael Fox</t>
  </si>
  <si>
    <t>Lisa Oliver</t>
  </si>
  <si>
    <t>Bradley Davis</t>
  </si>
  <si>
    <t>Ronald Johns</t>
  </si>
  <si>
    <t>Alan Nunez</t>
  </si>
  <si>
    <t>Daniel Davenport</t>
  </si>
  <si>
    <t>Angel Powers</t>
  </si>
  <si>
    <t>Ian Frazier</t>
  </si>
  <si>
    <t>Matthew Miller</t>
  </si>
  <si>
    <t>Angela Jones</t>
  </si>
  <si>
    <t>Sarah Drake</t>
  </si>
  <si>
    <t>Sierra Williams</t>
  </si>
  <si>
    <t>Deborah Stephens</t>
  </si>
  <si>
    <t>Brenda Martin</t>
  </si>
  <si>
    <t>Gary Wilson</t>
  </si>
  <si>
    <t>Alison Williams</t>
  </si>
  <si>
    <t>Rebecca Hoover</t>
  </si>
  <si>
    <t>Joseph Blankenship</t>
  </si>
  <si>
    <t>Robert Velez</t>
  </si>
  <si>
    <t>Kimberly Scott</t>
  </si>
  <si>
    <t>Wendy Sanders</t>
  </si>
  <si>
    <t>Eric Cooper</t>
  </si>
  <si>
    <t>Jessica Harris</t>
  </si>
  <si>
    <t>Lisa Craig</t>
  </si>
  <si>
    <t>Penny Gomez MD</t>
  </si>
  <si>
    <t>Hannah Richmond</t>
  </si>
  <si>
    <t>Debbie Russell</t>
  </si>
  <si>
    <t>Judy Murray</t>
  </si>
  <si>
    <t>Jennifer Gomez</t>
  </si>
  <si>
    <t>Hayden Shannon</t>
  </si>
  <si>
    <t>Nicolas Salas II</t>
  </si>
  <si>
    <t>Katherine Joyce</t>
  </si>
  <si>
    <t>Alexandra Clark</t>
  </si>
  <si>
    <t>Jonathan Clark</t>
  </si>
  <si>
    <t>Adam Fisher</t>
  </si>
  <si>
    <t>Jason Bell</t>
  </si>
  <si>
    <t>Greg Edwards</t>
  </si>
  <si>
    <t>Mary Shepard</t>
  </si>
  <si>
    <t>Cameron Rose</t>
  </si>
  <si>
    <t>Kimberly Taylor</t>
  </si>
  <si>
    <t>Sarah Cooper</t>
  </si>
  <si>
    <t>Ralph Yates</t>
  </si>
  <si>
    <t>Connie Miller</t>
  </si>
  <si>
    <t>Jason Floyd</t>
  </si>
  <si>
    <t>Tiffany Brown</t>
  </si>
  <si>
    <t>Sandra Martinez</t>
  </si>
  <si>
    <t>Dawn Little</t>
  </si>
  <si>
    <t>Heather Taylor</t>
  </si>
  <si>
    <t>Gregory Oconnor</t>
  </si>
  <si>
    <t>Cynthia Le</t>
  </si>
  <si>
    <t>Douglas Ortiz</t>
  </si>
  <si>
    <t>Beverly Russo</t>
  </si>
  <si>
    <t>Amy Grant</t>
  </si>
  <si>
    <t>Maurice Andrade</t>
  </si>
  <si>
    <t>David Gardner</t>
  </si>
  <si>
    <t>Andrew Mitchell</t>
  </si>
  <si>
    <t>Rodney Norris</t>
  </si>
  <si>
    <t>Jacob Perkins</t>
  </si>
  <si>
    <t>Jessica Conrad</t>
  </si>
  <si>
    <t>Caitlin Henderson</t>
  </si>
  <si>
    <t>Victoria Wyatt</t>
  </si>
  <si>
    <t>Matthew Foster</t>
  </si>
  <si>
    <t>David Bradley</t>
  </si>
  <si>
    <t>Tyler Miller</t>
  </si>
  <si>
    <t>Taylor Mathis Jr.</t>
  </si>
  <si>
    <t>Candice Ramos</t>
  </si>
  <si>
    <t>Christine Wright</t>
  </si>
  <si>
    <t>Allison Doyle</t>
  </si>
  <si>
    <t>Meghan Anthony</t>
  </si>
  <si>
    <t>Jason Powell</t>
  </si>
  <si>
    <t>Rebecca Moyer</t>
  </si>
  <si>
    <t>Daniel Murphy</t>
  </si>
  <si>
    <t>Paul Williams</t>
  </si>
  <si>
    <t>Pamela Jackson</t>
  </si>
  <si>
    <t>Miguel Jones</t>
  </si>
  <si>
    <t>Jack Snow</t>
  </si>
  <si>
    <t>Robert Medina</t>
  </si>
  <si>
    <t>Cheryl Allen</t>
  </si>
  <si>
    <t>Joseph Coleman</t>
  </si>
  <si>
    <t>Nathan Stewart</t>
  </si>
  <si>
    <t>Scott Wilson</t>
  </si>
  <si>
    <t>Regina Gonzalez</t>
  </si>
  <si>
    <t>Sydney White</t>
  </si>
  <si>
    <t>Frank Garcia</t>
  </si>
  <si>
    <t>David Wilson</t>
  </si>
  <si>
    <t>Joseph Dean</t>
  </si>
  <si>
    <t>Emily Smith</t>
  </si>
  <si>
    <t>Kristen Reyes</t>
  </si>
  <si>
    <t>Diane Evans</t>
  </si>
  <si>
    <t>Joseph Knight</t>
  </si>
  <si>
    <t>Christina Cruz</t>
  </si>
  <si>
    <t>Michael Johnson</t>
  </si>
  <si>
    <t>Tanner Mitchell DDS</t>
  </si>
  <si>
    <t>Patricia Becker</t>
  </si>
  <si>
    <t>Susan Rivas</t>
  </si>
  <si>
    <t>Regina Mcdonald</t>
  </si>
  <si>
    <t>Jesse Santiago</t>
  </si>
  <si>
    <t>Samantha Davis</t>
  </si>
  <si>
    <t>Cameron Fisher</t>
  </si>
  <si>
    <t>Richard Camacho</t>
  </si>
  <si>
    <t>Larry Garcia</t>
  </si>
  <si>
    <t>Meagan Jenkins</t>
  </si>
  <si>
    <t>Paula Bradley</t>
  </si>
  <si>
    <t>Crystal Hansen</t>
  </si>
  <si>
    <t>Craig Morrison</t>
  </si>
  <si>
    <t>Sonia Day</t>
  </si>
  <si>
    <t>Dustin Newman</t>
  </si>
  <si>
    <t>Kelly Bishop MD</t>
  </si>
  <si>
    <t>Rachel Holland</t>
  </si>
  <si>
    <t>Felicia Aguilar</t>
  </si>
  <si>
    <t>Meagan Calderon</t>
  </si>
  <si>
    <t>Kaitlyn Guerra</t>
  </si>
  <si>
    <t>Ruben Dunn</t>
  </si>
  <si>
    <t>Jason Bauer</t>
  </si>
  <si>
    <t>Lynn Andrews</t>
  </si>
  <si>
    <t>Heather Ashley</t>
  </si>
  <si>
    <t>Haley Quinn</t>
  </si>
  <si>
    <t>Catherine Taylor</t>
  </si>
  <si>
    <t>Emily Collins</t>
  </si>
  <si>
    <t>Mitchell Jackson</t>
  </si>
  <si>
    <t>Jessica Martinez</t>
  </si>
  <si>
    <t>Michelle Pierce</t>
  </si>
  <si>
    <t>William Conner</t>
  </si>
  <si>
    <t>Ana Sanders</t>
  </si>
  <si>
    <t>Evan Jones</t>
  </si>
  <si>
    <t>Emma Travis</t>
  </si>
  <si>
    <t>Emma Owens</t>
  </si>
  <si>
    <t>Dylan Hughes</t>
  </si>
  <si>
    <t>Andrew Williams</t>
  </si>
  <si>
    <t>Reginald Knapp</t>
  </si>
  <si>
    <t>Mary Burgess</t>
  </si>
  <si>
    <t>Brooke Delgado</t>
  </si>
  <si>
    <t>Casey Gillespie</t>
  </si>
  <si>
    <t>Corey Rodriguez</t>
  </si>
  <si>
    <t>Cathy Taylor</t>
  </si>
  <si>
    <t>Tiffany Turner</t>
  </si>
  <si>
    <t>Michael Durham</t>
  </si>
  <si>
    <t>Donald Hawkins</t>
  </si>
  <si>
    <t>Sarah Davis</t>
  </si>
  <si>
    <t>Autumn Key</t>
  </si>
  <si>
    <t>Kristen Rowe</t>
  </si>
  <si>
    <t>Kelly Sanchez</t>
  </si>
  <si>
    <t>Alan Bowen</t>
  </si>
  <si>
    <t>Susan Rodriguez</t>
  </si>
  <si>
    <t>Tyler Stevens</t>
  </si>
  <si>
    <t>Amanda Mcfarland</t>
  </si>
  <si>
    <t>Tanya Evans</t>
  </si>
  <si>
    <t>Valerie Brown</t>
  </si>
  <si>
    <t>Richard Moore</t>
  </si>
  <si>
    <t>Philip Garcia</t>
  </si>
  <si>
    <t>Rachel Shields</t>
  </si>
  <si>
    <t>Douglas Hartman</t>
  </si>
  <si>
    <t>Sheila Barnes</t>
  </si>
  <si>
    <t>Daniel Burgess</t>
  </si>
  <si>
    <t>Thomas Miller</t>
  </si>
  <si>
    <t>Christopher Castro</t>
  </si>
  <si>
    <t>Jessica Johnson</t>
  </si>
  <si>
    <t>Michael Mcbride</t>
  </si>
  <si>
    <t>Jennifer Taylor</t>
  </si>
  <si>
    <t>Maria Cooke</t>
  </si>
  <si>
    <t>Kari Lee</t>
  </si>
  <si>
    <t>Xavier Rowe</t>
  </si>
  <si>
    <t>Tiffany Robertson</t>
  </si>
  <si>
    <t>Samantha Simpson</t>
  </si>
  <si>
    <t>Rachel Shannon</t>
  </si>
  <si>
    <t>Brandon Lewis</t>
  </si>
  <si>
    <t>Edwin Reyes</t>
  </si>
  <si>
    <t>Lisa Ramos</t>
  </si>
  <si>
    <t>Peggy Vaughn</t>
  </si>
  <si>
    <t>Bonnie Valencia</t>
  </si>
  <si>
    <t>Austin Baker</t>
  </si>
  <si>
    <t>James Davidson</t>
  </si>
  <si>
    <t>Kevin Hines</t>
  </si>
  <si>
    <t>Lee Parker</t>
  </si>
  <si>
    <t>Patricia Johnson</t>
  </si>
  <si>
    <t>Megan Wilson</t>
  </si>
  <si>
    <t>Roger Duncan</t>
  </si>
  <si>
    <t>April Sandoval</t>
  </si>
  <si>
    <t>Dillon Jones</t>
  </si>
  <si>
    <t>Bryan Howard</t>
  </si>
  <si>
    <t>Angela Osborn</t>
  </si>
  <si>
    <t>Daniel Lopez</t>
  </si>
  <si>
    <t>Vickie Price</t>
  </si>
  <si>
    <t>Morgan Kim</t>
  </si>
  <si>
    <t>Kevin Thompson</t>
  </si>
  <si>
    <t>Heather Bennett</t>
  </si>
  <si>
    <t>Karen Davis</t>
  </si>
  <si>
    <t>Leah Spencer</t>
  </si>
  <si>
    <t>Lisa Martinez</t>
  </si>
  <si>
    <t>Lisa Mills</t>
  </si>
  <si>
    <t>Traci Garcia</t>
  </si>
  <si>
    <t>Ryan Garrison</t>
  </si>
  <si>
    <t>Ann Alexander</t>
  </si>
  <si>
    <t>Hailey Monroe</t>
  </si>
  <si>
    <t>Donald Nguyen</t>
  </si>
  <si>
    <t>Cynthia Brown</t>
  </si>
  <si>
    <t>Jason Price</t>
  </si>
  <si>
    <t>William Orozco</t>
  </si>
  <si>
    <t>Christopher Walters</t>
  </si>
  <si>
    <t>Katherine Christensen MD</t>
  </si>
  <si>
    <t>Elizabeth Williams</t>
  </si>
  <si>
    <t>Ashley Scott</t>
  </si>
  <si>
    <t>Meghan White</t>
  </si>
  <si>
    <t>Michael Cruz</t>
  </si>
  <si>
    <t>David Stevens</t>
  </si>
  <si>
    <t>Heidi Brown</t>
  </si>
  <si>
    <t>Peter Walker</t>
  </si>
  <si>
    <t>Levi Lopez</t>
  </si>
  <si>
    <t>Peter Williams</t>
  </si>
  <si>
    <t>Jessica Richards</t>
  </si>
  <si>
    <t>Tammy Anderson</t>
  </si>
  <si>
    <t>Stephanie Ferguson</t>
  </si>
  <si>
    <t>Ashley Parrish</t>
  </si>
  <si>
    <t>Kimberly Morrison</t>
  </si>
  <si>
    <t>Timothy Gilbert</t>
  </si>
  <si>
    <t>Erin Carter</t>
  </si>
  <si>
    <t>Jaime Lang</t>
  </si>
  <si>
    <t>Amanda Jones</t>
  </si>
  <si>
    <t>Elizabeth Miller</t>
  </si>
  <si>
    <t>Joseph Taylor</t>
  </si>
  <si>
    <t>Traci Camacho</t>
  </si>
  <si>
    <t>Kenneth Long</t>
  </si>
  <si>
    <t>Michael Young</t>
  </si>
  <si>
    <t>Matthew Steele</t>
  </si>
  <si>
    <t>Reginald Diaz</t>
  </si>
  <si>
    <t>Amanda Juarez</t>
  </si>
  <si>
    <t>Courtney Sullivan</t>
  </si>
  <si>
    <t>Linda Elliott</t>
  </si>
  <si>
    <t>Sherry Schmidt</t>
  </si>
  <si>
    <t>Jacqueline Williams</t>
  </si>
  <si>
    <t>Brian Simmons</t>
  </si>
  <si>
    <t>Richard Avery</t>
  </si>
  <si>
    <t>Abigail Davis</t>
  </si>
  <si>
    <t>Andrew Cruz</t>
  </si>
  <si>
    <t>Laura Benson</t>
  </si>
  <si>
    <t>Pamela Weaver</t>
  </si>
  <si>
    <t>Robert Mendoza</t>
  </si>
  <si>
    <t>Veronica Parks</t>
  </si>
  <si>
    <t>Robert Woods</t>
  </si>
  <si>
    <t>Jane Mitchell</t>
  </si>
  <si>
    <t>Teresa Adkins</t>
  </si>
  <si>
    <t>Randy Warren</t>
  </si>
  <si>
    <t>Brandon Parker</t>
  </si>
  <si>
    <t>Mark Williamson</t>
  </si>
  <si>
    <t>Joseph Lopez</t>
  </si>
  <si>
    <t>Ray Boyd</t>
  </si>
  <si>
    <t>Donald Wilson</t>
  </si>
  <si>
    <t>Jonathan Parks</t>
  </si>
  <si>
    <t>Ashley Freeman</t>
  </si>
  <si>
    <t>Dawn Diaz</t>
  </si>
  <si>
    <t>Morgan Davenport</t>
  </si>
  <si>
    <t>Theresa Hansen</t>
  </si>
  <si>
    <t>Krista Shea</t>
  </si>
  <si>
    <t>Rebecca Thompson</t>
  </si>
  <si>
    <t>United States</t>
  </si>
  <si>
    <t>Brazil</t>
  </si>
  <si>
    <t>United Kingdom</t>
  </si>
  <si>
    <t>China</t>
  </si>
  <si>
    <t>Australia</t>
  </si>
  <si>
    <t>Antarctica</t>
  </si>
  <si>
    <t>Cost Percentage</t>
  </si>
  <si>
    <t xml:space="preserve"> </t>
  </si>
  <si>
    <t>Revenue</t>
  </si>
  <si>
    <t>cost percentage</t>
  </si>
  <si>
    <t>Cost</t>
  </si>
  <si>
    <t>Profit</t>
  </si>
  <si>
    <t>KPIs</t>
  </si>
  <si>
    <t>Sum of Revenue</t>
  </si>
  <si>
    <t>Sum of Cost</t>
  </si>
  <si>
    <t>Sum of Profit</t>
  </si>
  <si>
    <t>Sum of Quantity</t>
  </si>
  <si>
    <t>Delivery Time</t>
  </si>
  <si>
    <t>Row Labels</t>
  </si>
  <si>
    <t>Grand Total</t>
  </si>
  <si>
    <t>Count of Order ID</t>
  </si>
  <si>
    <t>month</t>
  </si>
  <si>
    <t>Average  Delivery Time</t>
  </si>
  <si>
    <t>Day</t>
  </si>
  <si>
    <t>Apr</t>
  </si>
  <si>
    <t>Aug</t>
  </si>
  <si>
    <t>Dec</t>
  </si>
  <si>
    <t>Feb</t>
  </si>
  <si>
    <t>Jan</t>
  </si>
  <si>
    <t>Jul</t>
  </si>
  <si>
    <t>Jun</t>
  </si>
  <si>
    <t>Mar</t>
  </si>
  <si>
    <t>May</t>
  </si>
  <si>
    <t>Nov</t>
  </si>
  <si>
    <t>Oct</t>
  </si>
  <si>
    <t>Sept</t>
  </si>
  <si>
    <t>MONTH2</t>
  </si>
  <si>
    <t>Mean</t>
  </si>
  <si>
    <t>Median</t>
  </si>
  <si>
    <t>Mode</t>
  </si>
  <si>
    <t>Minimum</t>
  </si>
  <si>
    <t>Maximum</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</si>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</sst>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F800]dddd\,\ mmmm\ dd\,\ yyyy"/>
    <numFmt numFmtId="165" formatCode="_-[$$-409]* #,##0.00_ ;_-[$$-409]* \-#,##0.00\ ;_-[$$-409]* &quot;-&quot;??_ ;_-@_ "/>
    <numFmt numFmtId="166" formatCode="_-[$$-409]* #,##0_ ;_-[$$-409]* \-#,##0\ ;_-[$$-409]* &quot;-&quot;??_ ;_-@_ "/>
    <numFmt numFmtId="167" formatCode="0\ \-\ &quot;days&quot;"/>
    <numFmt numFmtId="168" formatCode="0,&quot;K&quot;"/>
    <numFmt numFmtId="169" formatCode="0\-&quot;Days&quot;"/>
    <numFmt numFmtId="170" formatCode="0.0%"/>
  </numFmts>
  <fonts count="4" x14ac:knownFonts="1">
    <font>
      <sz val="11"/>
      <color theme="1"/>
      <name val="Calibri"/>
      <family val="2"/>
      <scheme val="minor"/>
    </font>
    <font>
      <sz val="8"/>
      <name val="Calibri"/>
      <family val="2"/>
      <scheme val="minor"/>
    </font>
    <font>
      <sz val="11"/>
      <color theme="0"/>
      <name val="Calibri"/>
      <family val="2"/>
      <scheme val="minor"/>
    </font>
    <font>
      <i/>
      <sz val="11"/>
      <color theme="1"/>
      <name val="Calibri"/>
      <family val="2"/>
      <scheme val="minor"/>
    </font>
  </fonts>
  <fills count="3">
    <fill>
      <patternFill patternType="none"/>
    </fill>
    <fill>
      <patternFill patternType="gray125"/>
    </fill>
    <fill>
      <patternFill patternType="solid">
        <fgColor theme="4" tint="-0.249977111117893"/>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0">
    <xf numFmtId="0" fontId="0" fillId="0" borderId="0" xfId="0"/>
    <xf numFmtId="164" fontId="0" fillId="0" borderId="0" xfId="0" applyNumberFormat="1"/>
    <xf numFmtId="165" fontId="0" fillId="0" borderId="0" xfId="0" applyNumberFormat="1"/>
    <xf numFmtId="166" fontId="0" fillId="0" borderId="0" xfId="0" applyNumberFormat="1"/>
    <xf numFmtId="2" fontId="0" fillId="0" borderId="0" xfId="0" applyNumberFormat="1"/>
    <xf numFmtId="0" fontId="0" fillId="0" borderId="0" xfId="0" pivotButton="1"/>
    <xf numFmtId="167" fontId="0" fillId="0" borderId="0" xfId="0" applyNumberFormat="1"/>
    <xf numFmtId="0" fontId="0" fillId="0" borderId="0" xfId="0" applyAlignment="1">
      <alignment horizontal="left"/>
    </xf>
    <xf numFmtId="10" fontId="0" fillId="0" borderId="0" xfId="0" applyNumberFormat="1"/>
    <xf numFmtId="14" fontId="0" fillId="0" borderId="0" xfId="0" applyNumberFormat="1"/>
    <xf numFmtId="168" fontId="0" fillId="0" borderId="0" xfId="0" applyNumberFormat="1"/>
    <xf numFmtId="169" fontId="0" fillId="0" borderId="0" xfId="0" applyNumberFormat="1"/>
    <xf numFmtId="170" fontId="0" fillId="0" borderId="0" xfId="0" applyNumberFormat="1"/>
    <xf numFmtId="0" fontId="0" fillId="0" borderId="0" xfId="0" applyNumberFormat="1"/>
    <xf numFmtId="0" fontId="0" fillId="0" borderId="0" xfId="0" applyAlignment="1">
      <alignment horizontal="left" indent="1"/>
    </xf>
    <xf numFmtId="0" fontId="2" fillId="2" borderId="0" xfId="0" applyFont="1" applyFill="1"/>
    <xf numFmtId="1" fontId="0" fillId="0" borderId="0" xfId="0" applyNumberFormat="1"/>
    <xf numFmtId="0" fontId="0" fillId="0" borderId="0" xfId="0" applyFill="1" applyBorder="1" applyAlignment="1"/>
    <xf numFmtId="0" fontId="0" fillId="0" borderId="1" xfId="0" applyFill="1" applyBorder="1" applyAlignment="1"/>
    <xf numFmtId="0" fontId="3" fillId="0" borderId="2" xfId="0" applyFont="1" applyFill="1" applyBorder="1" applyAlignment="1">
      <alignment horizontal="center"/>
    </xf>
  </cellXfs>
  <cellStyles count="1">
    <cellStyle name="Normal" xfId="0" builtinId="0"/>
  </cellStyles>
  <dxfs count="34">
    <dxf>
      <fill>
        <patternFill>
          <bgColor rgb="FFFF0000"/>
        </patternFill>
      </fill>
    </dxf>
    <dxf>
      <numFmt numFmtId="166" formatCode="_-[$$-409]* #,##0_ ;_-[$$-409]* \-#,##0\ ;_-[$$-409]* &quot;-&quot;??_ ;_-@_ "/>
    </dxf>
    <dxf>
      <numFmt numFmtId="169" formatCode="0\-&quot;Days&quot;"/>
    </dxf>
    <dxf>
      <numFmt numFmtId="170" formatCode="0.0%"/>
    </dxf>
    <dxf>
      <numFmt numFmtId="170" formatCode="0.0%"/>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6" formatCode="_-[$$-409]* #,##0_ ;_-[$$-409]* \-#,##0\ ;_-[$$-409]* &quot;-&quot;??_ ;_-@_ "/>
    </dxf>
    <dxf>
      <numFmt numFmtId="166" formatCode="_-[$$-409]* #,##0_ ;_-[$$-409]* \-#,##0\ ;_-[$$-409]* &quot;-&quot;??_ ;_-@_ "/>
    </dxf>
    <dxf>
      <numFmt numFmtId="168" formatCode="0,&quot;K&quot;"/>
    </dxf>
    <dxf>
      <numFmt numFmtId="165" formatCode="_-[$$-409]* #,##0.00_ ;_-[$$-409]* \-#,##0.00\ ;_-[$$-409]* &quot;-&quot;??_ ;_-@_ "/>
    </dxf>
    <dxf>
      <numFmt numFmtId="165" formatCode="_-[$$-409]* #,##0.00_ ;_-[$$-409]* \-#,##0.00\ ;_-[$$-409]* &quot;-&quot;??_ ;_-@_ "/>
    </dxf>
    <dxf>
      <numFmt numFmtId="165" formatCode="_-[$$-409]* #,##0.00_ ;_-[$$-409]* \-#,##0.00\ ;_-[$$-409]* &quot;-&quot;??_ ;_-@_ "/>
    </dxf>
    <dxf>
      <numFmt numFmtId="166" formatCode="_-[$$-409]* #,##0_ ;_-[$$-409]* \-#,##0\ ;_-[$$-409]* &quot;-&quot;??_ ;_-@_ "/>
    </dxf>
    <dxf>
      <numFmt numFmtId="167" formatCode="0\ \-\ &quot;days&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2" formatCode="0.00"/>
    </dxf>
    <dxf>
      <numFmt numFmtId="164" formatCode="[$-F800]dddd\,\ mmmm\ dd\,\ yyyy"/>
    </dxf>
    <dxf>
      <numFmt numFmtId="1" formatCode="0"/>
    </dxf>
    <dxf>
      <numFmt numFmtId="2" formatCode="0.00"/>
    </dxf>
    <dxf>
      <numFmt numFmtId="19" formatCode="dd/mm/yyyy"/>
    </dxf>
    <dxf>
      <numFmt numFmtId="19" formatCode="dd/mm/yyyy"/>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[sales_data.xlsx]Analysis!PivotTable6</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5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5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5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5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5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5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5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5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5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358885017421602E-2"/>
          <c:y val="6.3608672203645772E-2"/>
          <c:w val="0.9233449477351916"/>
          <c:h val="0.71218854492503503"/>
        </c:manualLayout>
      </c:layout>
      <c:barChart>
        <c:barDir val="col"/>
        <c:grouping val="clustered"/>
        <c:varyColors val="0"/>
        <c:ser>
          <c:idx val="0"/>
          <c:order val="0"/>
          <c:tx>
            <c:strRef>
              <c:f>Analysis!$B$6</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5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Analysis!$A$7:$A$11</c:f>
              <c:strCache>
                <c:ptCount val="5"/>
                <c:pt idx="0">
                  <c:v>Apparel</c:v>
                </c:pt>
                <c:pt idx="1">
                  <c:v>Books</c:v>
                </c:pt>
                <c:pt idx="2">
                  <c:v>Electronics</c:v>
                </c:pt>
                <c:pt idx="3">
                  <c:v>Groceries</c:v>
                </c:pt>
                <c:pt idx="4">
                  <c:v>Home Decor</c:v>
                </c:pt>
              </c:strCache>
            </c:strRef>
          </c:cat>
          <c:val>
            <c:numRef>
              <c:f>Analysis!$B$7:$B$11</c:f>
              <c:numCache>
                <c:formatCode>0,"K"</c:formatCode>
                <c:ptCount val="5"/>
                <c:pt idx="0">
                  <c:v>323605</c:v>
                </c:pt>
                <c:pt idx="1">
                  <c:v>320050</c:v>
                </c:pt>
                <c:pt idx="2">
                  <c:v>291366</c:v>
                </c:pt>
                <c:pt idx="3">
                  <c:v>293726</c:v>
                </c:pt>
                <c:pt idx="4">
                  <c:v>242809</c:v>
                </c:pt>
              </c:numCache>
            </c:numRef>
          </c:val>
          <c:extLst>
            <c:ext xmlns:c16="http://schemas.microsoft.com/office/drawing/2014/chart" uri="{C3380CC4-5D6E-409C-BE32-E72D297353CC}">
              <c16:uniqueId val="{00000000-8E50-4FD4-81B5-E66A88F4D0A9}"/>
            </c:ext>
          </c:extLst>
        </c:ser>
        <c:ser>
          <c:idx val="1"/>
          <c:order val="1"/>
          <c:tx>
            <c:strRef>
              <c:f>Analysis!$C$6</c:f>
              <c:strCache>
                <c:ptCount val="1"/>
                <c:pt idx="0">
                  <c:v>Sum of Cost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5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Analysis!$A$7:$A$11</c:f>
              <c:strCache>
                <c:ptCount val="5"/>
                <c:pt idx="0">
                  <c:v>Apparel</c:v>
                </c:pt>
                <c:pt idx="1">
                  <c:v>Books</c:v>
                </c:pt>
                <c:pt idx="2">
                  <c:v>Electronics</c:v>
                </c:pt>
                <c:pt idx="3">
                  <c:v>Groceries</c:v>
                </c:pt>
                <c:pt idx="4">
                  <c:v>Home Decor</c:v>
                </c:pt>
              </c:strCache>
            </c:strRef>
          </c:cat>
          <c:val>
            <c:numRef>
              <c:f>Analysis!$C$7:$C$11</c:f>
              <c:numCache>
                <c:formatCode>0,"K"</c:formatCode>
                <c:ptCount val="5"/>
                <c:pt idx="0">
                  <c:v>232996.9</c:v>
                </c:pt>
                <c:pt idx="1">
                  <c:v>175858.89999999994</c:v>
                </c:pt>
                <c:pt idx="2">
                  <c:v>215100.05</c:v>
                </c:pt>
                <c:pt idx="3">
                  <c:v>161652.39999999997</c:v>
                </c:pt>
                <c:pt idx="4">
                  <c:v>171617.69999999998</c:v>
                </c:pt>
              </c:numCache>
            </c:numRef>
          </c:val>
          <c:extLst>
            <c:ext xmlns:c16="http://schemas.microsoft.com/office/drawing/2014/chart" uri="{C3380CC4-5D6E-409C-BE32-E72D297353CC}">
              <c16:uniqueId val="{00000001-8E50-4FD4-81B5-E66A88F4D0A9}"/>
            </c:ext>
          </c:extLst>
        </c:ser>
        <c:ser>
          <c:idx val="2"/>
          <c:order val="2"/>
          <c:tx>
            <c:strRef>
              <c:f>Analysis!$D$6</c:f>
              <c:strCache>
                <c:ptCount val="1"/>
                <c:pt idx="0">
                  <c:v>Sum of Profit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50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Analysis!$A$7:$A$11</c:f>
              <c:strCache>
                <c:ptCount val="5"/>
                <c:pt idx="0">
                  <c:v>Apparel</c:v>
                </c:pt>
                <c:pt idx="1">
                  <c:v>Books</c:v>
                </c:pt>
                <c:pt idx="2">
                  <c:v>Electronics</c:v>
                </c:pt>
                <c:pt idx="3">
                  <c:v>Groceries</c:v>
                </c:pt>
                <c:pt idx="4">
                  <c:v>Home Decor</c:v>
                </c:pt>
              </c:strCache>
            </c:strRef>
          </c:cat>
          <c:val>
            <c:numRef>
              <c:f>Analysis!$D$7:$D$11</c:f>
              <c:numCache>
                <c:formatCode>0,"K"</c:formatCode>
                <c:ptCount val="5"/>
                <c:pt idx="0">
                  <c:v>90608.10000000002</c:v>
                </c:pt>
                <c:pt idx="1">
                  <c:v>144191.09999999998</c:v>
                </c:pt>
                <c:pt idx="2">
                  <c:v>76265.950000000012</c:v>
                </c:pt>
                <c:pt idx="3">
                  <c:v>132073.60000000003</c:v>
                </c:pt>
                <c:pt idx="4">
                  <c:v>71191.300000000017</c:v>
                </c:pt>
              </c:numCache>
            </c:numRef>
          </c:val>
          <c:extLst>
            <c:ext xmlns:c16="http://schemas.microsoft.com/office/drawing/2014/chart" uri="{C3380CC4-5D6E-409C-BE32-E72D297353CC}">
              <c16:uniqueId val="{00000002-8E50-4FD4-81B5-E66A88F4D0A9}"/>
            </c:ext>
          </c:extLst>
        </c:ser>
        <c:dLbls>
          <c:dLblPos val="outEnd"/>
          <c:showLegendKey val="0"/>
          <c:showVal val="1"/>
          <c:showCatName val="0"/>
          <c:showSerName val="0"/>
          <c:showPercent val="0"/>
          <c:showBubbleSize val="0"/>
        </c:dLbls>
        <c:gapWidth val="25"/>
        <c:axId val="712397679"/>
        <c:axId val="712396847"/>
      </c:barChart>
      <c:catAx>
        <c:axId val="712397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Times New Roman" panose="02020603050405020304" pitchFamily="18" charset="0"/>
                <a:ea typeface="+mn-ea"/>
                <a:cs typeface="Times New Roman" panose="02020603050405020304" pitchFamily="18" charset="0"/>
              </a:defRPr>
            </a:pPr>
            <a:endParaRPr lang="en-NG"/>
          </a:p>
        </c:txPr>
        <c:crossAx val="712396847"/>
        <c:crosses val="autoZero"/>
        <c:auto val="1"/>
        <c:lblAlgn val="ctr"/>
        <c:lblOffset val="100"/>
        <c:noMultiLvlLbl val="0"/>
      </c:catAx>
      <c:valAx>
        <c:axId val="712396847"/>
        <c:scaling>
          <c:orientation val="minMax"/>
        </c:scaling>
        <c:delete val="1"/>
        <c:axPos val="l"/>
        <c:numFmt formatCode="0,&quot;K&quot;" sourceLinked="1"/>
        <c:majorTickMark val="out"/>
        <c:minorTickMark val="none"/>
        <c:tickLblPos val="nextTo"/>
        <c:crossAx val="712397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[sales_data.xlsx]Analysis!PivotTable8</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952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952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952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952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952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952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ln w="952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ln w="952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ln w="952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650793650793648E-2"/>
          <c:y val="3.8218910652697335E-2"/>
          <c:w val="0.91269841269841268"/>
          <c:h val="0.50154248186225625"/>
        </c:manualLayout>
      </c:layout>
      <c:lineChart>
        <c:grouping val="standard"/>
        <c:varyColors val="0"/>
        <c:ser>
          <c:idx val="0"/>
          <c:order val="0"/>
          <c:tx>
            <c:strRef>
              <c:f>Analysis!$G$6</c:f>
              <c:strCache>
                <c:ptCount val="1"/>
                <c:pt idx="0">
                  <c:v>Sum of Revenue</c:v>
                </c:pt>
              </c:strCache>
            </c:strRef>
          </c:tx>
          <c:spPr>
            <a:ln w="9525" cap="rnd">
              <a:solidFill>
                <a:schemeClr val="accent1"/>
              </a:solidFill>
              <a:round/>
            </a:ln>
            <a:effectLst/>
          </c:spPr>
          <c:marker>
            <c:symbol val="circle"/>
            <c:size val="5"/>
            <c:spPr>
              <a:solidFill>
                <a:schemeClr val="accent1"/>
              </a:solidFill>
              <a:ln w="9525">
                <a:solidFill>
                  <a:schemeClr val="accent1"/>
                </a:solidFill>
              </a:ln>
              <a:effectLst/>
            </c:spPr>
          </c:marker>
          <c:cat>
            <c:strRef>
              <c:f>Analysis!$F$7:$F$19</c:f>
              <c:strCache>
                <c:ptCount val="12"/>
                <c:pt idx="0">
                  <c:v>Jan</c:v>
                </c:pt>
                <c:pt idx="1">
                  <c:v>Feb</c:v>
                </c:pt>
                <c:pt idx="2">
                  <c:v>Mar</c:v>
                </c:pt>
                <c:pt idx="3">
                  <c:v>Apr</c:v>
                </c:pt>
                <c:pt idx="4">
                  <c:v>May</c:v>
                </c:pt>
                <c:pt idx="5">
                  <c:v>Jun</c:v>
                </c:pt>
                <c:pt idx="6">
                  <c:v>Jul</c:v>
                </c:pt>
                <c:pt idx="7">
                  <c:v>Aug</c:v>
                </c:pt>
                <c:pt idx="8">
                  <c:v>Oct</c:v>
                </c:pt>
                <c:pt idx="9">
                  <c:v>Nov</c:v>
                </c:pt>
                <c:pt idx="10">
                  <c:v>Dec</c:v>
                </c:pt>
                <c:pt idx="11">
                  <c:v>Sept</c:v>
                </c:pt>
              </c:strCache>
            </c:strRef>
          </c:cat>
          <c:val>
            <c:numRef>
              <c:f>Analysis!$G$7:$G$19</c:f>
              <c:numCache>
                <c:formatCode>_-[$$-409]* #,##0.00_ ;_-[$$-409]* \-#,##0.00\ ;_-[$$-409]* "-"??_ ;_-@_ </c:formatCode>
                <c:ptCount val="12"/>
                <c:pt idx="0">
                  <c:v>97752</c:v>
                </c:pt>
                <c:pt idx="1">
                  <c:v>133319</c:v>
                </c:pt>
                <c:pt idx="2">
                  <c:v>123815</c:v>
                </c:pt>
                <c:pt idx="3">
                  <c:v>151114</c:v>
                </c:pt>
                <c:pt idx="4">
                  <c:v>82971</c:v>
                </c:pt>
                <c:pt idx="5">
                  <c:v>108920</c:v>
                </c:pt>
                <c:pt idx="6">
                  <c:v>124530</c:v>
                </c:pt>
                <c:pt idx="7">
                  <c:v>120679</c:v>
                </c:pt>
                <c:pt idx="8">
                  <c:v>125684</c:v>
                </c:pt>
                <c:pt idx="9">
                  <c:v>98993</c:v>
                </c:pt>
                <c:pt idx="10">
                  <c:v>174362</c:v>
                </c:pt>
                <c:pt idx="11">
                  <c:v>129417</c:v>
                </c:pt>
              </c:numCache>
            </c:numRef>
          </c:val>
          <c:smooth val="1"/>
          <c:extLst>
            <c:ext xmlns:c16="http://schemas.microsoft.com/office/drawing/2014/chart" uri="{C3380CC4-5D6E-409C-BE32-E72D297353CC}">
              <c16:uniqueId val="{00000000-DBC7-4EF6-9A46-556555A3232E}"/>
            </c:ext>
          </c:extLst>
        </c:ser>
        <c:ser>
          <c:idx val="1"/>
          <c:order val="1"/>
          <c:tx>
            <c:strRef>
              <c:f>Analysis!$H$6</c:f>
              <c:strCache>
                <c:ptCount val="1"/>
                <c:pt idx="0">
                  <c:v>Sum of Profit</c:v>
                </c:pt>
              </c:strCache>
            </c:strRef>
          </c:tx>
          <c:spPr>
            <a:ln w="9525" cap="rnd">
              <a:solidFill>
                <a:schemeClr val="accent2"/>
              </a:solidFill>
              <a:round/>
            </a:ln>
            <a:effectLst/>
          </c:spPr>
          <c:marker>
            <c:symbol val="circle"/>
            <c:size val="5"/>
            <c:spPr>
              <a:solidFill>
                <a:schemeClr val="accent2"/>
              </a:solidFill>
              <a:ln w="9525">
                <a:solidFill>
                  <a:schemeClr val="accent2"/>
                </a:solidFill>
              </a:ln>
              <a:effectLst/>
            </c:spPr>
          </c:marker>
          <c:cat>
            <c:strRef>
              <c:f>Analysis!$F$7:$F$19</c:f>
              <c:strCache>
                <c:ptCount val="12"/>
                <c:pt idx="0">
                  <c:v>Jan</c:v>
                </c:pt>
                <c:pt idx="1">
                  <c:v>Feb</c:v>
                </c:pt>
                <c:pt idx="2">
                  <c:v>Mar</c:v>
                </c:pt>
                <c:pt idx="3">
                  <c:v>Apr</c:v>
                </c:pt>
                <c:pt idx="4">
                  <c:v>May</c:v>
                </c:pt>
                <c:pt idx="5">
                  <c:v>Jun</c:v>
                </c:pt>
                <c:pt idx="6">
                  <c:v>Jul</c:v>
                </c:pt>
                <c:pt idx="7">
                  <c:v>Aug</c:v>
                </c:pt>
                <c:pt idx="8">
                  <c:v>Oct</c:v>
                </c:pt>
                <c:pt idx="9">
                  <c:v>Nov</c:v>
                </c:pt>
                <c:pt idx="10">
                  <c:v>Dec</c:v>
                </c:pt>
                <c:pt idx="11">
                  <c:v>Sept</c:v>
                </c:pt>
              </c:strCache>
            </c:strRef>
          </c:cat>
          <c:val>
            <c:numRef>
              <c:f>Analysis!$H$7:$H$19</c:f>
              <c:numCache>
                <c:formatCode>_-[$$-409]* #,##0.00_ ;_-[$$-409]* \-#,##0.00\ ;_-[$$-409]* "-"??_ ;_-@_ </c:formatCode>
                <c:ptCount val="12"/>
                <c:pt idx="0">
                  <c:v>33113.5</c:v>
                </c:pt>
                <c:pt idx="1">
                  <c:v>44819.349999999984</c:v>
                </c:pt>
                <c:pt idx="2">
                  <c:v>42577.549999999996</c:v>
                </c:pt>
                <c:pt idx="3">
                  <c:v>47992.600000000006</c:v>
                </c:pt>
                <c:pt idx="4">
                  <c:v>30541.500000000004</c:v>
                </c:pt>
                <c:pt idx="5">
                  <c:v>39017.899999999987</c:v>
                </c:pt>
                <c:pt idx="6">
                  <c:v>44248.150000000009</c:v>
                </c:pt>
                <c:pt idx="7">
                  <c:v>40490.650000000009</c:v>
                </c:pt>
                <c:pt idx="8">
                  <c:v>42498.899999999994</c:v>
                </c:pt>
                <c:pt idx="9">
                  <c:v>36620.049999999996</c:v>
                </c:pt>
                <c:pt idx="10">
                  <c:v>64286.200000000004</c:v>
                </c:pt>
                <c:pt idx="11">
                  <c:v>48123.700000000004</c:v>
                </c:pt>
              </c:numCache>
            </c:numRef>
          </c:val>
          <c:smooth val="1"/>
          <c:extLst>
            <c:ext xmlns:c16="http://schemas.microsoft.com/office/drawing/2014/chart" uri="{C3380CC4-5D6E-409C-BE32-E72D297353CC}">
              <c16:uniqueId val="{00000001-DBC7-4EF6-9A46-556555A3232E}"/>
            </c:ext>
          </c:extLst>
        </c:ser>
        <c:ser>
          <c:idx val="2"/>
          <c:order val="2"/>
          <c:tx>
            <c:strRef>
              <c:f>Analysis!$I$6</c:f>
              <c:strCache>
                <c:ptCount val="1"/>
                <c:pt idx="0">
                  <c:v>Sum of Cost</c:v>
                </c:pt>
              </c:strCache>
            </c:strRef>
          </c:tx>
          <c:spPr>
            <a:ln w="9525" cap="rnd">
              <a:solidFill>
                <a:schemeClr val="accent3"/>
              </a:solidFill>
              <a:round/>
            </a:ln>
            <a:effectLst/>
          </c:spPr>
          <c:marker>
            <c:symbol val="circle"/>
            <c:size val="5"/>
            <c:spPr>
              <a:solidFill>
                <a:schemeClr val="accent3"/>
              </a:solidFill>
              <a:ln w="9525">
                <a:solidFill>
                  <a:schemeClr val="accent3"/>
                </a:solidFill>
              </a:ln>
              <a:effectLst/>
            </c:spPr>
          </c:marker>
          <c:cat>
            <c:strRef>
              <c:f>Analysis!$F$7:$F$19</c:f>
              <c:strCache>
                <c:ptCount val="12"/>
                <c:pt idx="0">
                  <c:v>Jan</c:v>
                </c:pt>
                <c:pt idx="1">
                  <c:v>Feb</c:v>
                </c:pt>
                <c:pt idx="2">
                  <c:v>Mar</c:v>
                </c:pt>
                <c:pt idx="3">
                  <c:v>Apr</c:v>
                </c:pt>
                <c:pt idx="4">
                  <c:v>May</c:v>
                </c:pt>
                <c:pt idx="5">
                  <c:v>Jun</c:v>
                </c:pt>
                <c:pt idx="6">
                  <c:v>Jul</c:v>
                </c:pt>
                <c:pt idx="7">
                  <c:v>Aug</c:v>
                </c:pt>
                <c:pt idx="8">
                  <c:v>Oct</c:v>
                </c:pt>
                <c:pt idx="9">
                  <c:v>Nov</c:v>
                </c:pt>
                <c:pt idx="10">
                  <c:v>Dec</c:v>
                </c:pt>
                <c:pt idx="11">
                  <c:v>Sept</c:v>
                </c:pt>
              </c:strCache>
            </c:strRef>
          </c:cat>
          <c:val>
            <c:numRef>
              <c:f>Analysis!$I$7:$I$19</c:f>
              <c:numCache>
                <c:formatCode>_-[$$-409]* #,##0.00_ ;_-[$$-409]* \-#,##0.00\ ;_-[$$-409]* "-"??_ ;_-@_ </c:formatCode>
                <c:ptCount val="12"/>
                <c:pt idx="0">
                  <c:v>64638.499999999993</c:v>
                </c:pt>
                <c:pt idx="1">
                  <c:v>88499.650000000009</c:v>
                </c:pt>
                <c:pt idx="2">
                  <c:v>81237.450000000012</c:v>
                </c:pt>
                <c:pt idx="3">
                  <c:v>103121.39999999998</c:v>
                </c:pt>
                <c:pt idx="4">
                  <c:v>52429.500000000007</c:v>
                </c:pt>
                <c:pt idx="5">
                  <c:v>69902.100000000006</c:v>
                </c:pt>
                <c:pt idx="6">
                  <c:v>80281.850000000006</c:v>
                </c:pt>
                <c:pt idx="7">
                  <c:v>80188.349999999991</c:v>
                </c:pt>
                <c:pt idx="8">
                  <c:v>83185.099999999991</c:v>
                </c:pt>
                <c:pt idx="9">
                  <c:v>62372.950000000012</c:v>
                </c:pt>
                <c:pt idx="10">
                  <c:v>110075.8</c:v>
                </c:pt>
                <c:pt idx="11">
                  <c:v>81293.3</c:v>
                </c:pt>
              </c:numCache>
            </c:numRef>
          </c:val>
          <c:smooth val="1"/>
          <c:extLst>
            <c:ext xmlns:c16="http://schemas.microsoft.com/office/drawing/2014/chart" uri="{C3380CC4-5D6E-409C-BE32-E72D297353CC}">
              <c16:uniqueId val="{00000002-DBC7-4EF6-9A46-556555A3232E}"/>
            </c:ext>
          </c:extLst>
        </c:ser>
        <c:dLbls>
          <c:showLegendKey val="0"/>
          <c:showVal val="0"/>
          <c:showCatName val="0"/>
          <c:showSerName val="0"/>
          <c:showPercent val="0"/>
          <c:showBubbleSize val="0"/>
        </c:dLbls>
        <c:marker val="1"/>
        <c:smooth val="0"/>
        <c:axId val="1420520543"/>
        <c:axId val="1420510143"/>
      </c:lineChart>
      <c:catAx>
        <c:axId val="142052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NG"/>
          </a:p>
        </c:txPr>
        <c:crossAx val="1420510143"/>
        <c:crosses val="autoZero"/>
        <c:auto val="1"/>
        <c:lblAlgn val="ctr"/>
        <c:lblOffset val="100"/>
        <c:noMultiLvlLbl val="0"/>
      </c:catAx>
      <c:valAx>
        <c:axId val="1420510143"/>
        <c:scaling>
          <c:orientation val="minMax"/>
        </c:scaling>
        <c:delete val="1"/>
        <c:axPos val="l"/>
        <c:numFmt formatCode="_-[$$-409]* #,##0.00_ ;_-[$$-409]* \-#,##0.00\ ;_-[$$-409]* &quot;-&quot;??_ ;_-@_ " sourceLinked="1"/>
        <c:majorTickMark val="none"/>
        <c:minorTickMark val="none"/>
        <c:tickLblPos val="nextTo"/>
        <c:crossAx val="1420520543"/>
        <c:crosses val="autoZero"/>
        <c:crossBetween val="between"/>
      </c:valAx>
      <c:spPr>
        <a:noFill/>
        <a:ln>
          <a:noFill/>
        </a:ln>
        <a:effectLst/>
      </c:spPr>
    </c:plotArea>
    <c:legend>
      <c:legendPos val="b"/>
      <c:layout>
        <c:manualLayout>
          <c:xMode val="edge"/>
          <c:yMode val="edge"/>
          <c:x val="3.7999999999999999E-2"/>
          <c:y val="0.70246055211478009"/>
          <c:w val="0.95"/>
          <c:h val="0.20626495372288992"/>
        </c:manualLayout>
      </c:layout>
      <c:overlay val="0"/>
      <c:spPr>
        <a:noFill/>
        <a:ln>
          <a:noFill/>
        </a:ln>
        <a:effectLst/>
      </c:spPr>
      <c:txPr>
        <a:bodyPr rot="0" spcFirstLastPara="1" vertOverflow="ellipsis" vert="horz" wrap="square" anchor="ctr" anchorCtr="1"/>
        <a:lstStyle/>
        <a:p>
          <a:pPr algn="ctr">
            <a:defRPr lang="en-US" sz="900" b="1" i="0" u="none" strike="noStrike" kern="1200" baseline="0">
              <a:solidFill>
                <a:schemeClr val="tx2">
                  <a:lumMod val="50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59748557683272"/>
          <c:y val="0.4112155584893053"/>
          <c:w val="0.68103019938736775"/>
          <c:h val="0.58878444151069464"/>
        </c:manualLayout>
      </c:layout>
      <c:barChart>
        <c:barDir val="bar"/>
        <c:grouping val="clustered"/>
        <c:varyColors val="0"/>
        <c:ser>
          <c:idx val="0"/>
          <c:order val="0"/>
          <c:tx>
            <c:strRef>
              <c:f>Analysis!$B$15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Analysis!$A$16:$A$18</c:f>
              <c:strCache>
                <c:ptCount val="2"/>
                <c:pt idx="0">
                  <c:v>Completed</c:v>
                </c:pt>
                <c:pt idx="1">
                  <c:v>Returned</c:v>
                </c:pt>
              </c:strCache>
            </c:strRef>
          </c:cat>
          <c:val>
            <c:numRef>
              <c:f>Analysis!$B$16:$B$18</c:f>
              <c:numCache>
                <c:formatCode>0.0%</c:formatCode>
                <c:ptCount val="2"/>
                <c:pt idx="0">
                  <c:v>0.51711711711711716</c:v>
                </c:pt>
                <c:pt idx="1">
                  <c:v>0.48288288288288289</c:v>
                </c:pt>
              </c:numCache>
            </c:numRef>
          </c:val>
          <c:extLst>
            <c:ext xmlns:c16="http://schemas.microsoft.com/office/drawing/2014/chart" uri="{C3380CC4-5D6E-409C-BE32-E72D297353CC}">
              <c16:uniqueId val="{00000000-BE7E-4933-A8B6-A0589BAC8009}"/>
            </c:ext>
          </c:extLst>
        </c:ser>
        <c:dLbls>
          <c:dLblPos val="outEnd"/>
          <c:showLegendKey val="0"/>
          <c:showVal val="1"/>
          <c:showCatName val="0"/>
          <c:showSerName val="0"/>
          <c:showPercent val="0"/>
          <c:showBubbleSize val="0"/>
        </c:dLbls>
        <c:gapWidth val="15"/>
        <c:axId val="1420526367"/>
        <c:axId val="1420512223"/>
      </c:barChart>
      <c:catAx>
        <c:axId val="14205263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75000"/>
                  </a:schemeClr>
                </a:solidFill>
                <a:latin typeface="+mn-lt"/>
                <a:ea typeface="+mn-ea"/>
                <a:cs typeface="+mn-cs"/>
              </a:defRPr>
            </a:pPr>
            <a:endParaRPr lang="en-NG"/>
          </a:p>
        </c:txPr>
        <c:crossAx val="1420512223"/>
        <c:crosses val="autoZero"/>
        <c:auto val="1"/>
        <c:lblAlgn val="ctr"/>
        <c:lblOffset val="100"/>
        <c:noMultiLvlLbl val="0"/>
      </c:catAx>
      <c:valAx>
        <c:axId val="1420512223"/>
        <c:scaling>
          <c:orientation val="minMax"/>
        </c:scaling>
        <c:delete val="1"/>
        <c:axPos val="b"/>
        <c:numFmt formatCode="0.0%" sourceLinked="1"/>
        <c:majorTickMark val="out"/>
        <c:minorTickMark val="none"/>
        <c:tickLblPos val="nextTo"/>
        <c:crossAx val="1420526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[sales_data.xlsx]Analysis!PivotTable7</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Analysis!$A$24:$A$34</c:f>
              <c:multiLvlStrCache>
                <c:ptCount val="5"/>
                <c:lvl>
                  <c:pt idx="0">
                    <c:v>Groceries</c:v>
                  </c:pt>
                  <c:pt idx="1">
                    <c:v>Books</c:v>
                  </c:pt>
                  <c:pt idx="2">
                    <c:v>Books</c:v>
                  </c:pt>
                  <c:pt idx="3">
                    <c:v>Books</c:v>
                  </c:pt>
                  <c:pt idx="4">
                    <c:v>Books</c:v>
                  </c:pt>
                </c:lvl>
                <c:lvl>
                  <c:pt idx="0">
                    <c:v>Cereal</c:v>
                  </c:pt>
                  <c:pt idx="1">
                    <c:v>Non-Fiction</c:v>
                  </c:pt>
                  <c:pt idx="2">
                    <c:v>Fiction</c:v>
                  </c:pt>
                  <c:pt idx="3">
                    <c:v>Children's Book</c:v>
                  </c:pt>
                  <c:pt idx="4">
                    <c:v>Biography</c:v>
                  </c:pt>
                </c:lvl>
              </c:multiLvlStrCache>
            </c:multiLvlStrRef>
          </c:cat>
          <c:val>
            <c:numRef>
              <c:f>Analysis!$B$24:$B$34</c:f>
              <c:numCache>
                <c:formatCode>0,"K"</c:formatCode>
                <c:ptCount val="5"/>
                <c:pt idx="0">
                  <c:v>45825.749999999985</c:v>
                </c:pt>
                <c:pt idx="1">
                  <c:v>35935.5</c:v>
                </c:pt>
                <c:pt idx="2">
                  <c:v>34524.5</c:v>
                </c:pt>
                <c:pt idx="3">
                  <c:v>32089.599999999999</c:v>
                </c:pt>
                <c:pt idx="4">
                  <c:v>31609.799999999996</c:v>
                </c:pt>
              </c:numCache>
            </c:numRef>
          </c:val>
          <c:extLst>
            <c:ext xmlns:c16="http://schemas.microsoft.com/office/drawing/2014/chart" uri="{C3380CC4-5D6E-409C-BE32-E72D297353CC}">
              <c16:uniqueId val="{00000000-25F5-4F9D-BF88-B36AA45D2358}"/>
            </c:ext>
          </c:extLst>
        </c:ser>
        <c:dLbls>
          <c:dLblPos val="inEnd"/>
          <c:showLegendKey val="0"/>
          <c:showVal val="1"/>
          <c:showCatName val="0"/>
          <c:showSerName val="0"/>
          <c:showPercent val="0"/>
          <c:showBubbleSize val="0"/>
        </c:dLbls>
        <c:gapWidth val="20"/>
        <c:overlap val="20"/>
        <c:axId val="1420509727"/>
        <c:axId val="1420510143"/>
      </c:barChart>
      <c:catAx>
        <c:axId val="1420509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420510143"/>
        <c:crosses val="autoZero"/>
        <c:auto val="1"/>
        <c:lblAlgn val="ctr"/>
        <c:lblOffset val="100"/>
        <c:noMultiLvlLbl val="0"/>
      </c:catAx>
      <c:valAx>
        <c:axId val="1420510143"/>
        <c:scaling>
          <c:orientation val="minMax"/>
        </c:scaling>
        <c:delete val="1"/>
        <c:axPos val="l"/>
        <c:numFmt formatCode="0,&quot;K&quot;" sourceLinked="1"/>
        <c:majorTickMark val="out"/>
        <c:minorTickMark val="none"/>
        <c:tickLblPos val="nextTo"/>
        <c:crossAx val="142050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https://freepngimg.com/png/15989-key-png-pic" TargetMode="Externa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63500</xdr:colOff>
      <xdr:row>2</xdr:row>
      <xdr:rowOff>12960</xdr:rowOff>
    </xdr:to>
    <xdr:sp macro="" textlink="">
      <xdr:nvSpPr>
        <xdr:cNvPr id="2" name="Rectangle: Rounded Corners 1">
          <a:extLst>
            <a:ext uri="{FF2B5EF4-FFF2-40B4-BE49-F238E27FC236}">
              <a16:creationId xmlns:a16="http://schemas.microsoft.com/office/drawing/2014/main" id="{99AD2BFF-5903-4D42-8839-A47DDE301854}"/>
            </a:ext>
          </a:extLst>
        </xdr:cNvPr>
        <xdr:cNvSpPr/>
      </xdr:nvSpPr>
      <xdr:spPr>
        <a:xfrm>
          <a:off x="0" y="0"/>
          <a:ext cx="4330700" cy="39396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latin typeface="Times New Roman" panose="02020603050405020304" pitchFamily="18" charset="0"/>
              <a:cs typeface="Times New Roman" panose="02020603050405020304" pitchFamily="18" charset="0"/>
            </a:rPr>
            <a:t>Sales</a:t>
          </a:r>
          <a:r>
            <a:rPr lang="en-US" sz="2400" baseline="0">
              <a:latin typeface="Times New Roman" panose="02020603050405020304" pitchFamily="18" charset="0"/>
              <a:cs typeface="Times New Roman" panose="02020603050405020304" pitchFamily="18" charset="0"/>
            </a:rPr>
            <a:t> Performance Dashboard </a:t>
          </a:r>
          <a:endParaRPr lang="en-NG" sz="2400">
            <a:latin typeface="Times New Roman" panose="02020603050405020304" pitchFamily="18" charset="0"/>
            <a:cs typeface="Times New Roman" panose="02020603050405020304" pitchFamily="18" charset="0"/>
          </a:endParaRPr>
        </a:p>
      </xdr:txBody>
    </xdr:sp>
    <xdr:clientData/>
  </xdr:twoCellAnchor>
  <xdr:twoCellAnchor>
    <xdr:from>
      <xdr:col>0</xdr:col>
      <xdr:colOff>25400</xdr:colOff>
      <xdr:row>2</xdr:row>
      <xdr:rowOff>9332</xdr:rowOff>
    </xdr:from>
    <xdr:to>
      <xdr:col>11</xdr:col>
      <xdr:colOff>473010</xdr:colOff>
      <xdr:row>5</xdr:row>
      <xdr:rowOff>165490</xdr:rowOff>
    </xdr:to>
    <xdr:sp macro="" textlink="">
      <xdr:nvSpPr>
        <xdr:cNvPr id="3" name="Rectangle: Rounded Corners 2">
          <a:extLst>
            <a:ext uri="{FF2B5EF4-FFF2-40B4-BE49-F238E27FC236}">
              <a16:creationId xmlns:a16="http://schemas.microsoft.com/office/drawing/2014/main" id="{BEDCE8C5-7978-4FB5-9D8F-5CCF15BC1853}"/>
            </a:ext>
          </a:extLst>
        </xdr:cNvPr>
        <xdr:cNvSpPr/>
      </xdr:nvSpPr>
      <xdr:spPr>
        <a:xfrm>
          <a:off x="25400" y="390332"/>
          <a:ext cx="7153210" cy="727658"/>
        </a:xfrm>
        <a:prstGeom prst="roundRect">
          <a:avLst/>
        </a:prstGeom>
        <a:solidFill>
          <a:schemeClr val="accent2"/>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12700</xdr:colOff>
      <xdr:row>5</xdr:row>
      <xdr:rowOff>184150</xdr:rowOff>
    </xdr:from>
    <xdr:to>
      <xdr:col>6</xdr:col>
      <xdr:colOff>234950</xdr:colOff>
      <xdr:row>19</xdr:row>
      <xdr:rowOff>155510</xdr:rowOff>
    </xdr:to>
    <xdr:sp macro="" textlink="">
      <xdr:nvSpPr>
        <xdr:cNvPr id="4" name="Rectangle: Rounded Corners 3">
          <a:extLst>
            <a:ext uri="{FF2B5EF4-FFF2-40B4-BE49-F238E27FC236}">
              <a16:creationId xmlns:a16="http://schemas.microsoft.com/office/drawing/2014/main" id="{F35135B3-E80C-4925-BE1A-A515F90E9728}"/>
            </a:ext>
          </a:extLst>
        </xdr:cNvPr>
        <xdr:cNvSpPr/>
      </xdr:nvSpPr>
      <xdr:spPr>
        <a:xfrm>
          <a:off x="12700" y="1123691"/>
          <a:ext cx="3876740" cy="2602074"/>
        </a:xfrm>
        <a:prstGeom prst="roundRect">
          <a:avLst>
            <a:gd name="adj" fmla="val 6156"/>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lumMod val="50000"/>
                </a:schemeClr>
              </a:solidFill>
              <a:latin typeface="Times New Roman" panose="02020603050405020304" pitchFamily="18" charset="0"/>
              <a:cs typeface="Times New Roman" panose="02020603050405020304" pitchFamily="18" charset="0"/>
            </a:rPr>
            <a:t>Revnue,</a:t>
          </a:r>
          <a:r>
            <a:rPr lang="en-US" sz="1200" b="1" baseline="0">
              <a:solidFill>
                <a:schemeClr val="tx2">
                  <a:lumMod val="50000"/>
                </a:schemeClr>
              </a:solidFill>
              <a:latin typeface="Times New Roman" panose="02020603050405020304" pitchFamily="18" charset="0"/>
              <a:cs typeface="Times New Roman" panose="02020603050405020304" pitchFamily="18" charset="0"/>
            </a:rPr>
            <a:t> Cost, &amp; Profit By Product Category</a:t>
          </a:r>
          <a:endParaRPr lang="en-NG" sz="1200" b="1">
            <a:solidFill>
              <a:schemeClr val="tx2">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89808</xdr:colOff>
      <xdr:row>2</xdr:row>
      <xdr:rowOff>38877</xdr:rowOff>
    </xdr:from>
    <xdr:to>
      <xdr:col>2</xdr:col>
      <xdr:colOff>77756</xdr:colOff>
      <xdr:row>5</xdr:row>
      <xdr:rowOff>81513</xdr:rowOff>
    </xdr:to>
    <xdr:sp macro="" textlink="">
      <xdr:nvSpPr>
        <xdr:cNvPr id="5" name="Rectangle: Rounded Corners 4">
          <a:extLst>
            <a:ext uri="{FF2B5EF4-FFF2-40B4-BE49-F238E27FC236}">
              <a16:creationId xmlns:a16="http://schemas.microsoft.com/office/drawing/2014/main" id="{7896886E-AA5E-4268-AC72-CA3A759FE59F}"/>
            </a:ext>
          </a:extLst>
        </xdr:cNvPr>
        <xdr:cNvSpPr/>
      </xdr:nvSpPr>
      <xdr:spPr>
        <a:xfrm>
          <a:off x="89808" y="419877"/>
          <a:ext cx="1207148" cy="61413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4">
                  <a:lumMod val="75000"/>
                </a:schemeClr>
              </a:solidFill>
              <a:latin typeface="Times New Roman" panose="02020603050405020304" pitchFamily="18" charset="0"/>
              <a:cs typeface="Times New Roman" panose="02020603050405020304" pitchFamily="18" charset="0"/>
            </a:rPr>
            <a:t>Revenue</a:t>
          </a:r>
          <a:endParaRPr lang="en-NG" sz="1400">
            <a:solidFill>
              <a:schemeClr val="accent4">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76070</xdr:colOff>
      <xdr:row>3</xdr:row>
      <xdr:rowOff>126352</xdr:rowOff>
    </xdr:from>
    <xdr:to>
      <xdr:col>2</xdr:col>
      <xdr:colOff>31620</xdr:colOff>
      <xdr:row>5</xdr:row>
      <xdr:rowOff>56502</xdr:rowOff>
    </xdr:to>
    <xdr:sp macro="" textlink="Analysis!A3">
      <xdr:nvSpPr>
        <xdr:cNvPr id="6" name="TextBox 5">
          <a:extLst>
            <a:ext uri="{FF2B5EF4-FFF2-40B4-BE49-F238E27FC236}">
              <a16:creationId xmlns:a16="http://schemas.microsoft.com/office/drawing/2014/main" id="{DAEA3786-869A-44F3-985D-18690932A1A0}"/>
            </a:ext>
          </a:extLst>
        </xdr:cNvPr>
        <xdr:cNvSpPr txBox="1"/>
      </xdr:nvSpPr>
      <xdr:spPr>
        <a:xfrm>
          <a:off x="76070" y="697852"/>
          <a:ext cx="11747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D2FD4C-0D74-4FCF-A711-BAE710E1E2A1}" type="TxLink">
            <a:rPr lang="en-US" sz="1600" b="1" i="0" u="none" strike="noStrike">
              <a:solidFill>
                <a:schemeClr val="tx2">
                  <a:lumMod val="75000"/>
                </a:schemeClr>
              </a:solidFill>
              <a:latin typeface="Times New Roman" panose="02020603050405020304" pitchFamily="18" charset="0"/>
              <a:ea typeface="Calibri"/>
              <a:cs typeface="Times New Roman" panose="02020603050405020304" pitchFamily="18" charset="0"/>
            </a:rPr>
            <a:pPr algn="ctr"/>
            <a:t> $1,471,556 </a:t>
          </a:fld>
          <a:endParaRPr lang="en-US" sz="2400" b="1">
            <a:solidFill>
              <a:schemeClr val="tx2">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229899</xdr:colOff>
      <xdr:row>2</xdr:row>
      <xdr:rowOff>43932</xdr:rowOff>
    </xdr:from>
    <xdr:to>
      <xdr:col>4</xdr:col>
      <xdr:colOff>261649</xdr:colOff>
      <xdr:row>5</xdr:row>
      <xdr:rowOff>56632</xdr:rowOff>
    </xdr:to>
    <xdr:sp macro="" textlink="">
      <xdr:nvSpPr>
        <xdr:cNvPr id="7" name="Rectangle: Rounded Corners 6">
          <a:extLst>
            <a:ext uri="{FF2B5EF4-FFF2-40B4-BE49-F238E27FC236}">
              <a16:creationId xmlns:a16="http://schemas.microsoft.com/office/drawing/2014/main" id="{79BF239D-4CAB-49D8-9709-D8042E2FC7FB}"/>
            </a:ext>
          </a:extLst>
        </xdr:cNvPr>
        <xdr:cNvSpPr/>
      </xdr:nvSpPr>
      <xdr:spPr>
        <a:xfrm>
          <a:off x="1449099" y="424932"/>
          <a:ext cx="1250950" cy="584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solidFill>
                <a:schemeClr val="accent4">
                  <a:lumMod val="75000"/>
                </a:schemeClr>
              </a:solidFill>
              <a:latin typeface="Times New Roman" panose="02020603050405020304" pitchFamily="18" charset="0"/>
              <a:ea typeface="+mn-ea"/>
              <a:cs typeface="Times New Roman" panose="02020603050405020304" pitchFamily="18" charset="0"/>
            </a:rPr>
            <a:t>Cost</a:t>
          </a:r>
          <a:endParaRPr lang="en-NG" sz="1600" b="0">
            <a:solidFill>
              <a:schemeClr val="accent4">
                <a:lumMod val="75000"/>
              </a:schemeClr>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2</xdr:col>
      <xdr:colOff>254648</xdr:colOff>
      <xdr:row>3</xdr:row>
      <xdr:rowOff>126611</xdr:rowOff>
    </xdr:from>
    <xdr:to>
      <xdr:col>4</xdr:col>
      <xdr:colOff>210198</xdr:colOff>
      <xdr:row>5</xdr:row>
      <xdr:rowOff>56761</xdr:rowOff>
    </xdr:to>
    <xdr:sp macro="" textlink="Analysis!B3">
      <xdr:nvSpPr>
        <xdr:cNvPr id="8" name="TextBox 7">
          <a:extLst>
            <a:ext uri="{FF2B5EF4-FFF2-40B4-BE49-F238E27FC236}">
              <a16:creationId xmlns:a16="http://schemas.microsoft.com/office/drawing/2014/main" id="{4CC54E8D-A17B-4140-920F-0E6A5E19AE25}"/>
            </a:ext>
          </a:extLst>
        </xdr:cNvPr>
        <xdr:cNvSpPr txBox="1"/>
      </xdr:nvSpPr>
      <xdr:spPr>
        <a:xfrm>
          <a:off x="1473848" y="698111"/>
          <a:ext cx="11747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9DD3D01-24B5-434C-8DBA-46D39320CCA8}" type="TxLink">
            <a:rPr lang="en-US" sz="1600" b="1" i="0" u="none" strike="noStrike">
              <a:solidFill>
                <a:schemeClr val="tx2">
                  <a:lumMod val="75000"/>
                </a:schemeClr>
              </a:solidFill>
              <a:latin typeface="Times New Roman" panose="02020603050405020304" pitchFamily="18" charset="0"/>
              <a:ea typeface="Calibri"/>
              <a:cs typeface="Times New Roman" panose="02020603050405020304" pitchFamily="18" charset="0"/>
            </a:rPr>
            <a:pPr marL="0" indent="0" algn="ctr"/>
            <a:t> $957,226 </a:t>
          </a:fld>
          <a:endParaRPr lang="en-US" sz="1600" b="1" i="0" u="none" strike="noStrike">
            <a:solidFill>
              <a:schemeClr val="tx2">
                <a:lumMod val="75000"/>
              </a:schemeClr>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4</xdr:col>
      <xdr:colOff>382950</xdr:colOff>
      <xdr:row>2</xdr:row>
      <xdr:rowOff>43932</xdr:rowOff>
    </xdr:from>
    <xdr:to>
      <xdr:col>6</xdr:col>
      <xdr:colOff>414700</xdr:colOff>
      <xdr:row>5</xdr:row>
      <xdr:rowOff>69332</xdr:rowOff>
    </xdr:to>
    <xdr:sp macro="" textlink="">
      <xdr:nvSpPr>
        <xdr:cNvPr id="9" name="Rectangle: Rounded Corners 8">
          <a:extLst>
            <a:ext uri="{FF2B5EF4-FFF2-40B4-BE49-F238E27FC236}">
              <a16:creationId xmlns:a16="http://schemas.microsoft.com/office/drawing/2014/main" id="{16ABA432-3EF9-4F91-885C-432EC20CC5B5}"/>
            </a:ext>
          </a:extLst>
        </xdr:cNvPr>
        <xdr:cNvSpPr/>
      </xdr:nvSpPr>
      <xdr:spPr>
        <a:xfrm>
          <a:off x="2821350" y="424932"/>
          <a:ext cx="1250950" cy="5969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4">
                  <a:lumMod val="75000"/>
                </a:schemeClr>
              </a:solidFill>
              <a:latin typeface="Times New Roman" panose="02020603050405020304" pitchFamily="18" charset="0"/>
              <a:ea typeface="+mn-ea"/>
              <a:cs typeface="Times New Roman" panose="02020603050405020304" pitchFamily="18" charset="0"/>
            </a:rPr>
            <a:t>Profit</a:t>
          </a:r>
          <a:endParaRPr lang="en-NG" sz="1600">
            <a:solidFill>
              <a:schemeClr val="accent4">
                <a:lumMod val="75000"/>
              </a:schemeClr>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4</xdr:col>
      <xdr:colOff>382037</xdr:colOff>
      <xdr:row>3</xdr:row>
      <xdr:rowOff>139700</xdr:rowOff>
    </xdr:from>
    <xdr:to>
      <xdr:col>6</xdr:col>
      <xdr:colOff>337587</xdr:colOff>
      <xdr:row>5</xdr:row>
      <xdr:rowOff>69850</xdr:rowOff>
    </xdr:to>
    <xdr:sp macro="" textlink="Analysis!C3">
      <xdr:nvSpPr>
        <xdr:cNvPr id="10" name="TextBox 9">
          <a:extLst>
            <a:ext uri="{FF2B5EF4-FFF2-40B4-BE49-F238E27FC236}">
              <a16:creationId xmlns:a16="http://schemas.microsoft.com/office/drawing/2014/main" id="{CAEBF7FA-AEA0-452C-847D-3F9218087879}"/>
            </a:ext>
          </a:extLst>
        </xdr:cNvPr>
        <xdr:cNvSpPr txBox="1"/>
      </xdr:nvSpPr>
      <xdr:spPr>
        <a:xfrm>
          <a:off x="2820437" y="711200"/>
          <a:ext cx="11747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77B331D-0B8D-476E-AEEA-886CC5059E9E}" type="TxLink">
            <a:rPr lang="en-US" sz="1600" b="1" i="0" u="none" strike="noStrike">
              <a:solidFill>
                <a:schemeClr val="tx2">
                  <a:lumMod val="75000"/>
                </a:schemeClr>
              </a:solidFill>
              <a:latin typeface="Times New Roman" panose="02020603050405020304" pitchFamily="18" charset="0"/>
              <a:ea typeface="Calibri"/>
              <a:cs typeface="Times New Roman" panose="02020603050405020304" pitchFamily="18" charset="0"/>
            </a:rPr>
            <a:pPr marL="0" indent="0" algn="ctr"/>
            <a:t> $514,330 </a:t>
          </a:fld>
          <a:endParaRPr lang="en-US" sz="1600" b="1" i="0" u="none" strike="noStrike">
            <a:solidFill>
              <a:schemeClr val="tx2">
                <a:lumMod val="75000"/>
              </a:schemeClr>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6</xdr:col>
      <xdr:colOff>536001</xdr:colOff>
      <xdr:row>2</xdr:row>
      <xdr:rowOff>43932</xdr:rowOff>
    </xdr:from>
    <xdr:to>
      <xdr:col>8</xdr:col>
      <xdr:colOff>567751</xdr:colOff>
      <xdr:row>5</xdr:row>
      <xdr:rowOff>69332</xdr:rowOff>
    </xdr:to>
    <xdr:sp macro="" textlink="">
      <xdr:nvSpPr>
        <xdr:cNvPr id="11" name="Rectangle: Rounded Corners 10">
          <a:extLst>
            <a:ext uri="{FF2B5EF4-FFF2-40B4-BE49-F238E27FC236}">
              <a16:creationId xmlns:a16="http://schemas.microsoft.com/office/drawing/2014/main" id="{11CC12F4-B2D0-49DE-A4C0-59F798A45AE9}"/>
            </a:ext>
          </a:extLst>
        </xdr:cNvPr>
        <xdr:cNvSpPr/>
      </xdr:nvSpPr>
      <xdr:spPr>
        <a:xfrm>
          <a:off x="4193601" y="424932"/>
          <a:ext cx="1250950" cy="5969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a:solidFill>
                <a:schemeClr val="accent4">
                  <a:lumMod val="75000"/>
                </a:schemeClr>
              </a:solidFill>
              <a:latin typeface="Times New Roman" panose="02020603050405020304" pitchFamily="18" charset="0"/>
              <a:ea typeface="+mn-ea"/>
              <a:cs typeface="Times New Roman" panose="02020603050405020304" pitchFamily="18" charset="0"/>
            </a:rPr>
            <a:t>Quantity</a:t>
          </a:r>
          <a:endParaRPr lang="en-NG" sz="1400">
            <a:solidFill>
              <a:schemeClr val="accent4">
                <a:lumMod val="75000"/>
              </a:schemeClr>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6</xdr:col>
      <xdr:colOff>541693</xdr:colOff>
      <xdr:row>3</xdr:row>
      <xdr:rowOff>133220</xdr:rowOff>
    </xdr:from>
    <xdr:to>
      <xdr:col>8</xdr:col>
      <xdr:colOff>497243</xdr:colOff>
      <xdr:row>5</xdr:row>
      <xdr:rowOff>63370</xdr:rowOff>
    </xdr:to>
    <xdr:sp macro="" textlink="Analysis!D3">
      <xdr:nvSpPr>
        <xdr:cNvPr id="12" name="TextBox 11">
          <a:extLst>
            <a:ext uri="{FF2B5EF4-FFF2-40B4-BE49-F238E27FC236}">
              <a16:creationId xmlns:a16="http://schemas.microsoft.com/office/drawing/2014/main" id="{F76CD293-BE4E-4117-A2F8-D90B2A088F66}"/>
            </a:ext>
          </a:extLst>
        </xdr:cNvPr>
        <xdr:cNvSpPr txBox="1"/>
      </xdr:nvSpPr>
      <xdr:spPr>
        <a:xfrm>
          <a:off x="4199293" y="704720"/>
          <a:ext cx="11747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6F251B0-BDB3-4296-BA3A-45DA261E0D07}" type="TxLink">
            <a:rPr lang="en-US" sz="1600" b="1" i="0" u="none" strike="noStrike">
              <a:solidFill>
                <a:schemeClr val="tx2">
                  <a:lumMod val="75000"/>
                </a:schemeClr>
              </a:solidFill>
              <a:latin typeface="Times New Roman" panose="02020603050405020304" pitchFamily="18" charset="0"/>
              <a:ea typeface="Calibri"/>
              <a:cs typeface="Times New Roman" panose="02020603050405020304" pitchFamily="18" charset="0"/>
            </a:rPr>
            <a:pPr marL="0" indent="0" algn="ctr"/>
            <a:t> $2,999 </a:t>
          </a:fld>
          <a:endParaRPr lang="en-US" sz="1600" b="1" i="0" u="none" strike="noStrike">
            <a:solidFill>
              <a:schemeClr val="tx2">
                <a:lumMod val="75000"/>
              </a:schemeClr>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9</xdr:col>
      <xdr:colOff>79968</xdr:colOff>
      <xdr:row>2</xdr:row>
      <xdr:rowOff>43932</xdr:rowOff>
    </xdr:from>
    <xdr:to>
      <xdr:col>11</xdr:col>
      <xdr:colOff>549350</xdr:colOff>
      <xdr:row>5</xdr:row>
      <xdr:rowOff>56632</xdr:rowOff>
    </xdr:to>
    <xdr:sp macro="" textlink="">
      <xdr:nvSpPr>
        <xdr:cNvPr id="13" name="Rectangle: Rounded Corners 12">
          <a:extLst>
            <a:ext uri="{FF2B5EF4-FFF2-40B4-BE49-F238E27FC236}">
              <a16:creationId xmlns:a16="http://schemas.microsoft.com/office/drawing/2014/main" id="{F1FEBE8E-C3C9-4687-A42A-61CDD809BE26}"/>
            </a:ext>
          </a:extLst>
        </xdr:cNvPr>
        <xdr:cNvSpPr/>
      </xdr:nvSpPr>
      <xdr:spPr>
        <a:xfrm>
          <a:off x="5566368" y="424932"/>
          <a:ext cx="1688582" cy="584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4">
                  <a:lumMod val="75000"/>
                </a:schemeClr>
              </a:solidFill>
              <a:latin typeface="Times New Roman" panose="02020603050405020304" pitchFamily="18" charset="0"/>
              <a:cs typeface="Times New Roman" panose="02020603050405020304" pitchFamily="18" charset="0"/>
            </a:rPr>
            <a:t>Avg.</a:t>
          </a:r>
          <a:r>
            <a:rPr lang="en-US" sz="1400" baseline="0">
              <a:solidFill>
                <a:schemeClr val="accent4">
                  <a:lumMod val="75000"/>
                </a:schemeClr>
              </a:solidFill>
              <a:latin typeface="Times New Roman" panose="02020603050405020304" pitchFamily="18" charset="0"/>
              <a:cs typeface="Times New Roman" panose="02020603050405020304" pitchFamily="18" charset="0"/>
            </a:rPr>
            <a:t> Delivery Time</a:t>
          </a:r>
          <a:endParaRPr lang="en-NG" sz="1400">
            <a:solidFill>
              <a:schemeClr val="accent4">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424672</xdr:colOff>
      <xdr:row>3</xdr:row>
      <xdr:rowOff>126482</xdr:rowOff>
    </xdr:from>
    <xdr:to>
      <xdr:col>11</xdr:col>
      <xdr:colOff>380222</xdr:colOff>
      <xdr:row>5</xdr:row>
      <xdr:rowOff>56632</xdr:rowOff>
    </xdr:to>
    <xdr:sp macro="" textlink="Analysis!E3">
      <xdr:nvSpPr>
        <xdr:cNvPr id="14" name="TextBox 13">
          <a:extLst>
            <a:ext uri="{FF2B5EF4-FFF2-40B4-BE49-F238E27FC236}">
              <a16:creationId xmlns:a16="http://schemas.microsoft.com/office/drawing/2014/main" id="{E1579939-15AB-4762-AF08-E18EF32484C7}"/>
            </a:ext>
          </a:extLst>
        </xdr:cNvPr>
        <xdr:cNvSpPr txBox="1"/>
      </xdr:nvSpPr>
      <xdr:spPr>
        <a:xfrm>
          <a:off x="5911072" y="697982"/>
          <a:ext cx="11747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1F8B5B-DB21-4EBB-B59F-1F300B31278C}" type="TxLink">
            <a:rPr lang="en-US" sz="1600" b="1" i="0" u="none" strike="noStrike">
              <a:solidFill>
                <a:schemeClr val="tx2">
                  <a:lumMod val="75000"/>
                </a:schemeClr>
              </a:solidFill>
              <a:latin typeface="Times New Roman" panose="02020603050405020304" pitchFamily="18" charset="0"/>
              <a:ea typeface="Calibri"/>
              <a:cs typeface="Times New Roman" panose="02020603050405020304" pitchFamily="18" charset="0"/>
            </a:rPr>
            <a:pPr marL="0" indent="0" algn="ctr"/>
            <a:t>8-Days</a:t>
          </a:fld>
          <a:endParaRPr lang="en-US" sz="1600" b="1" i="0" u="none" strike="noStrike">
            <a:solidFill>
              <a:schemeClr val="tx2">
                <a:lumMod val="75000"/>
              </a:schemeClr>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146050</xdr:colOff>
      <xdr:row>7</xdr:row>
      <xdr:rowOff>25400</xdr:rowOff>
    </xdr:from>
    <xdr:to>
      <xdr:col>6</xdr:col>
      <xdr:colOff>133350</xdr:colOff>
      <xdr:row>19</xdr:row>
      <xdr:rowOff>57150</xdr:rowOff>
    </xdr:to>
    <xdr:graphicFrame macro="">
      <xdr:nvGraphicFramePr>
        <xdr:cNvPr id="16" name="Chart 15">
          <a:extLst>
            <a:ext uri="{FF2B5EF4-FFF2-40B4-BE49-F238E27FC236}">
              <a16:creationId xmlns:a16="http://schemas.microsoft.com/office/drawing/2014/main" id="{984EE82E-A1A9-41CD-942E-EACD28D97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254000</xdr:colOff>
      <xdr:row>5</xdr:row>
      <xdr:rowOff>184150</xdr:rowOff>
    </xdr:from>
    <xdr:to>
      <xdr:col>12</xdr:col>
      <xdr:colOff>50800</xdr:colOff>
      <xdr:row>14</xdr:row>
      <xdr:rowOff>76200</xdr:rowOff>
    </xdr:to>
    <xdr:sp macro="" textlink="">
      <xdr:nvSpPr>
        <xdr:cNvPr id="17" name="Rectangle: Rounded Corners 16">
          <a:extLst>
            <a:ext uri="{FF2B5EF4-FFF2-40B4-BE49-F238E27FC236}">
              <a16:creationId xmlns:a16="http://schemas.microsoft.com/office/drawing/2014/main" id="{39F3B877-A4A2-4C11-9965-5472D45FCFF1}"/>
            </a:ext>
          </a:extLst>
        </xdr:cNvPr>
        <xdr:cNvSpPr/>
      </xdr:nvSpPr>
      <xdr:spPr>
        <a:xfrm>
          <a:off x="3911600" y="1136650"/>
          <a:ext cx="3454400" cy="1606550"/>
        </a:xfrm>
        <a:prstGeom prst="roundRect">
          <a:avLst>
            <a:gd name="adj" fmla="val 6156"/>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lumMod val="50000"/>
                </a:schemeClr>
              </a:solidFill>
              <a:latin typeface="Times New Roman" panose="02020603050405020304" pitchFamily="18" charset="0"/>
              <a:cs typeface="Times New Roman" panose="02020603050405020304" pitchFamily="18" charset="0"/>
            </a:rPr>
            <a:t>Financial</a:t>
          </a:r>
          <a:r>
            <a:rPr lang="en-US" sz="1200" b="1" baseline="0">
              <a:solidFill>
                <a:schemeClr val="tx2">
                  <a:lumMod val="50000"/>
                </a:schemeClr>
              </a:solidFill>
              <a:latin typeface="Times New Roman" panose="02020603050405020304" pitchFamily="18" charset="0"/>
              <a:cs typeface="Times New Roman" panose="02020603050405020304" pitchFamily="18" charset="0"/>
            </a:rPr>
            <a:t> Trend</a:t>
          </a:r>
          <a:endParaRPr lang="en-NG" sz="1200" b="1">
            <a:solidFill>
              <a:schemeClr val="tx2">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76200</xdr:colOff>
      <xdr:row>2</xdr:row>
      <xdr:rowOff>0</xdr:rowOff>
    </xdr:from>
    <xdr:to>
      <xdr:col>17</xdr:col>
      <xdr:colOff>501650</xdr:colOff>
      <xdr:row>25</xdr:row>
      <xdr:rowOff>136072</xdr:rowOff>
    </xdr:to>
    <xdr:sp macro="" textlink="">
      <xdr:nvSpPr>
        <xdr:cNvPr id="18" name="Rectangle: Rounded Corners 17">
          <a:extLst>
            <a:ext uri="{FF2B5EF4-FFF2-40B4-BE49-F238E27FC236}">
              <a16:creationId xmlns:a16="http://schemas.microsoft.com/office/drawing/2014/main" id="{626AA7E9-CABB-413A-9A9D-66F2A0D32101}"/>
            </a:ext>
          </a:extLst>
        </xdr:cNvPr>
        <xdr:cNvSpPr/>
      </xdr:nvSpPr>
      <xdr:spPr>
        <a:xfrm>
          <a:off x="7385180" y="375816"/>
          <a:ext cx="3470858" cy="4457960"/>
        </a:xfrm>
        <a:prstGeom prst="roundRect">
          <a:avLst>
            <a:gd name="adj" fmla="val 3223"/>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lumMod val="50000"/>
                </a:schemeClr>
              </a:solidFill>
              <a:latin typeface="Times New Roman" panose="02020603050405020304" pitchFamily="18" charset="0"/>
              <a:cs typeface="Times New Roman" panose="02020603050405020304" pitchFamily="18" charset="0"/>
            </a:rPr>
            <a:t>Top</a:t>
          </a:r>
          <a:r>
            <a:rPr lang="en-US" sz="1200" b="1" baseline="0">
              <a:solidFill>
                <a:schemeClr val="tx2">
                  <a:lumMod val="50000"/>
                </a:schemeClr>
              </a:solidFill>
              <a:latin typeface="Times New Roman" panose="02020603050405020304" pitchFamily="18" charset="0"/>
              <a:cs typeface="Times New Roman" panose="02020603050405020304" pitchFamily="18" charset="0"/>
            </a:rPr>
            <a:t> 5 Products By Profits</a:t>
          </a:r>
        </a:p>
      </xdr:txBody>
    </xdr:sp>
    <xdr:clientData/>
  </xdr:twoCellAnchor>
  <xdr:twoCellAnchor>
    <xdr:from>
      <xdr:col>6</xdr:col>
      <xdr:colOff>349250</xdr:colOff>
      <xdr:row>6</xdr:row>
      <xdr:rowOff>82550</xdr:rowOff>
    </xdr:from>
    <xdr:to>
      <xdr:col>11</xdr:col>
      <xdr:colOff>476250</xdr:colOff>
      <xdr:row>14</xdr:row>
      <xdr:rowOff>165100</xdr:rowOff>
    </xdr:to>
    <xdr:graphicFrame macro="">
      <xdr:nvGraphicFramePr>
        <xdr:cNvPr id="19" name="Chart 18">
          <a:extLst>
            <a:ext uri="{FF2B5EF4-FFF2-40B4-BE49-F238E27FC236}">
              <a16:creationId xmlns:a16="http://schemas.microsoft.com/office/drawing/2014/main" id="{DC79BE23-A5FC-4021-ACA9-372001FEF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247650</xdr:colOff>
      <xdr:row>14</xdr:row>
      <xdr:rowOff>101600</xdr:rowOff>
    </xdr:from>
    <xdr:to>
      <xdr:col>12</xdr:col>
      <xdr:colOff>50800</xdr:colOff>
      <xdr:row>19</xdr:row>
      <xdr:rowOff>152400</xdr:rowOff>
    </xdr:to>
    <xdr:sp macro="" textlink="">
      <xdr:nvSpPr>
        <xdr:cNvPr id="20" name="Rectangle: Rounded Corners 19">
          <a:extLst>
            <a:ext uri="{FF2B5EF4-FFF2-40B4-BE49-F238E27FC236}">
              <a16:creationId xmlns:a16="http://schemas.microsoft.com/office/drawing/2014/main" id="{4694864D-2688-4209-B035-D36CEE3978D8}"/>
            </a:ext>
          </a:extLst>
        </xdr:cNvPr>
        <xdr:cNvSpPr/>
      </xdr:nvSpPr>
      <xdr:spPr>
        <a:xfrm>
          <a:off x="3905250" y="2768600"/>
          <a:ext cx="3460750" cy="1003300"/>
        </a:xfrm>
        <a:prstGeom prst="roundRect">
          <a:avLst>
            <a:gd name="adj" fmla="val 6156"/>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lumMod val="50000"/>
                </a:schemeClr>
              </a:solidFill>
              <a:latin typeface="Times New Roman" panose="02020603050405020304" pitchFamily="18" charset="0"/>
              <a:cs typeface="Times New Roman" panose="02020603050405020304" pitchFamily="18" charset="0"/>
            </a:rPr>
            <a:t>Order Status</a:t>
          </a:r>
          <a:endParaRPr lang="en-US" sz="1200" b="1" baseline="0">
            <a:solidFill>
              <a:schemeClr val="tx2">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419100</xdr:colOff>
      <xdr:row>14</xdr:row>
      <xdr:rowOff>184150</xdr:rowOff>
    </xdr:from>
    <xdr:to>
      <xdr:col>11</xdr:col>
      <xdr:colOff>495300</xdr:colOff>
      <xdr:row>19</xdr:row>
      <xdr:rowOff>12700</xdr:rowOff>
    </xdr:to>
    <xdr:graphicFrame macro="">
      <xdr:nvGraphicFramePr>
        <xdr:cNvPr id="21" name="Chart 20">
          <a:extLst>
            <a:ext uri="{FF2B5EF4-FFF2-40B4-BE49-F238E27FC236}">
              <a16:creationId xmlns:a16="http://schemas.microsoft.com/office/drawing/2014/main" id="{80DA735A-431C-419C-8D03-80E5200BF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114300</xdr:colOff>
      <xdr:row>2</xdr:row>
      <xdr:rowOff>63499</xdr:rowOff>
    </xdr:from>
    <xdr:to>
      <xdr:col>17</xdr:col>
      <xdr:colOff>285750</xdr:colOff>
      <xdr:row>24</xdr:row>
      <xdr:rowOff>103673</xdr:rowOff>
    </xdr:to>
    <xdr:graphicFrame macro="">
      <xdr:nvGraphicFramePr>
        <xdr:cNvPr id="22" name="Chart 21">
          <a:extLst>
            <a:ext uri="{FF2B5EF4-FFF2-40B4-BE49-F238E27FC236}">
              <a16:creationId xmlns:a16="http://schemas.microsoft.com/office/drawing/2014/main" id="{0B322A83-7E63-4259-931B-DD6ACFEC2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519758</xdr:colOff>
      <xdr:row>9</xdr:row>
      <xdr:rowOff>70710</xdr:rowOff>
    </xdr:from>
    <xdr:to>
      <xdr:col>19</xdr:col>
      <xdr:colOff>513408</xdr:colOff>
      <xdr:row>19</xdr:row>
      <xdr:rowOff>136072</xdr:rowOff>
    </xdr:to>
    <mc:AlternateContent xmlns:mc="http://schemas.openxmlformats.org/markup-compatibility/2006" xmlns:a14="http://schemas.microsoft.com/office/drawing/2010/main">
      <mc:Choice Requires="a14">
        <xdr:graphicFrame macro="">
          <xdr:nvGraphicFramePr>
            <xdr:cNvPr id="30" name="Country 1">
              <a:extLst>
                <a:ext uri="{FF2B5EF4-FFF2-40B4-BE49-F238E27FC236}">
                  <a16:creationId xmlns:a16="http://schemas.microsoft.com/office/drawing/2014/main" id="{9BF126A7-A63A-48BE-87A9-DE054E5A227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0874146" y="1761883"/>
              <a:ext cx="1211813" cy="194444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514918</xdr:colOff>
      <xdr:row>1</xdr:row>
      <xdr:rowOff>184703</xdr:rowOff>
    </xdr:from>
    <xdr:to>
      <xdr:col>19</xdr:col>
      <xdr:colOff>473009</xdr:colOff>
      <xdr:row>9</xdr:row>
      <xdr:rowOff>48315</xdr:rowOff>
    </xdr:to>
    <mc:AlternateContent xmlns:mc="http://schemas.openxmlformats.org/markup-compatibility/2006" xmlns:a14="http://schemas.microsoft.com/office/drawing/2010/main">
      <mc:Choice Requires="a14">
        <xdr:graphicFrame macro="">
          <xdr:nvGraphicFramePr>
            <xdr:cNvPr id="31" name="Payment Method 1">
              <a:extLst>
                <a:ext uri="{FF2B5EF4-FFF2-40B4-BE49-F238E27FC236}">
                  <a16:creationId xmlns:a16="http://schemas.microsoft.com/office/drawing/2014/main" id="{82168BD7-3F07-4A43-8170-413DA47864A8}"/>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0869306" y="372611"/>
              <a:ext cx="1176254" cy="136687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25918</xdr:colOff>
      <xdr:row>19</xdr:row>
      <xdr:rowOff>168467</xdr:rowOff>
    </xdr:from>
    <xdr:to>
      <xdr:col>12</xdr:col>
      <xdr:colOff>64796</xdr:colOff>
      <xdr:row>25</xdr:row>
      <xdr:rowOff>129592</xdr:rowOff>
    </xdr:to>
    <xdr:sp macro="" textlink="">
      <xdr:nvSpPr>
        <xdr:cNvPr id="32" name="Rectangle: Rounded Corners 31">
          <a:extLst>
            <a:ext uri="{FF2B5EF4-FFF2-40B4-BE49-F238E27FC236}">
              <a16:creationId xmlns:a16="http://schemas.microsoft.com/office/drawing/2014/main" id="{BD2996D3-8891-23E5-22E4-4EDA81439C7A}"/>
            </a:ext>
          </a:extLst>
        </xdr:cNvPr>
        <xdr:cNvSpPr/>
      </xdr:nvSpPr>
      <xdr:spPr>
        <a:xfrm>
          <a:off x="25918" y="3738722"/>
          <a:ext cx="7347858" cy="1088574"/>
        </a:xfrm>
        <a:prstGeom prst="roundRect">
          <a:avLst>
            <a:gd name="adj" fmla="val 770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2">
                  <a:lumMod val="50000"/>
                </a:schemeClr>
              </a:solidFill>
              <a:latin typeface="Times New Roman" panose="02020603050405020304" pitchFamily="18" charset="0"/>
              <a:cs typeface="Times New Roman" panose="02020603050405020304" pitchFamily="18" charset="0"/>
            </a:rPr>
            <a:t>Key</a:t>
          </a:r>
          <a:r>
            <a:rPr lang="en-US" sz="1200" b="1" baseline="0">
              <a:solidFill>
                <a:schemeClr val="tx2">
                  <a:lumMod val="50000"/>
                </a:schemeClr>
              </a:solidFill>
              <a:latin typeface="Times New Roman" panose="02020603050405020304" pitchFamily="18" charset="0"/>
              <a:cs typeface="Times New Roman" panose="02020603050405020304" pitchFamily="18" charset="0"/>
            </a:rPr>
            <a:t> </a:t>
          </a:r>
          <a:r>
            <a:rPr lang="en-US" sz="1400" b="1">
              <a:solidFill>
                <a:schemeClr val="tx2">
                  <a:lumMod val="50000"/>
                </a:schemeClr>
              </a:solidFill>
              <a:latin typeface="Times New Roman" panose="02020603050405020304" pitchFamily="18" charset="0"/>
              <a:cs typeface="Times New Roman" panose="02020603050405020304" pitchFamily="18" charset="0"/>
            </a:rPr>
            <a:t>Insights</a:t>
          </a:r>
          <a:endParaRPr lang="en-NG" sz="1200" b="1">
            <a:solidFill>
              <a:schemeClr val="tx2">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517330</xdr:colOff>
      <xdr:row>22</xdr:row>
      <xdr:rowOff>32397</xdr:rowOff>
    </xdr:from>
    <xdr:to>
      <xdr:col>12</xdr:col>
      <xdr:colOff>12958</xdr:colOff>
      <xdr:row>25</xdr:row>
      <xdr:rowOff>48882</xdr:rowOff>
    </xdr:to>
    <xdr:sp macro="" textlink="">
      <xdr:nvSpPr>
        <xdr:cNvPr id="27" name="TextBox 26">
          <a:extLst>
            <a:ext uri="{FF2B5EF4-FFF2-40B4-BE49-F238E27FC236}">
              <a16:creationId xmlns:a16="http://schemas.microsoft.com/office/drawing/2014/main" id="{FB460C39-FE0F-4338-9A37-DFA51211F814}"/>
            </a:ext>
          </a:extLst>
        </xdr:cNvPr>
        <xdr:cNvSpPr txBox="1"/>
      </xdr:nvSpPr>
      <xdr:spPr>
        <a:xfrm>
          <a:off x="5389983" y="4166377"/>
          <a:ext cx="1931955" cy="580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1" baseline="0">
              <a:solidFill>
                <a:schemeClr val="bg2">
                  <a:lumMod val="10000"/>
                </a:schemeClr>
              </a:solidFill>
              <a:latin typeface="Times New Roman" panose="02020603050405020304" pitchFamily="18" charset="0"/>
              <a:cs typeface="Times New Roman" panose="02020603050405020304" pitchFamily="18" charset="0"/>
            </a:rPr>
            <a:t>48.3%</a:t>
          </a:r>
          <a:r>
            <a:rPr lang="en-US" sz="1050" b="0" baseline="0">
              <a:solidFill>
                <a:schemeClr val="bg2">
                  <a:lumMod val="10000"/>
                </a:schemeClr>
              </a:solidFill>
              <a:latin typeface="Times New Roman" panose="02020603050405020304" pitchFamily="18" charset="0"/>
              <a:cs typeface="Times New Roman" panose="02020603050405020304" pitchFamily="18" charset="0"/>
            </a:rPr>
            <a:t> of products were returned, requiring urgent review by the sales team.</a:t>
          </a:r>
          <a:endParaRPr lang="en-NG" sz="1050" b="0">
            <a:solidFill>
              <a:schemeClr val="bg2">
                <a:lumMod val="10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252705</xdr:colOff>
      <xdr:row>18</xdr:row>
      <xdr:rowOff>19436</xdr:rowOff>
    </xdr:from>
    <xdr:to>
      <xdr:col>0</xdr:col>
      <xdr:colOff>414441</xdr:colOff>
      <xdr:row>18</xdr:row>
      <xdr:rowOff>144203</xdr:rowOff>
    </xdr:to>
    <xdr:pic>
      <xdr:nvPicPr>
        <xdr:cNvPr id="33" name="Picture 32">
          <a:extLst>
            <a:ext uri="{FF2B5EF4-FFF2-40B4-BE49-F238E27FC236}">
              <a16:creationId xmlns:a16="http://schemas.microsoft.com/office/drawing/2014/main" id="{EBAA60BC-B7FE-4904-A3D0-155BAFDBD09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rot="595951">
          <a:off x="252705" y="3401783"/>
          <a:ext cx="161736" cy="124767"/>
        </a:xfrm>
        <a:prstGeom prst="rect">
          <a:avLst/>
        </a:prstGeom>
      </xdr:spPr>
    </xdr:pic>
    <xdr:clientData/>
  </xdr:twoCellAnchor>
  <xdr:twoCellAnchor>
    <xdr:from>
      <xdr:col>0</xdr:col>
      <xdr:colOff>194388</xdr:colOff>
      <xdr:row>22</xdr:row>
      <xdr:rowOff>32397</xdr:rowOff>
    </xdr:from>
    <xdr:to>
      <xdr:col>4</xdr:col>
      <xdr:colOff>388775</xdr:colOff>
      <xdr:row>26</xdr:row>
      <xdr:rowOff>32398</xdr:rowOff>
    </xdr:to>
    <xdr:sp macro="" textlink="">
      <xdr:nvSpPr>
        <xdr:cNvPr id="34" name="TextBox 33">
          <a:extLst>
            <a:ext uri="{FF2B5EF4-FFF2-40B4-BE49-F238E27FC236}">
              <a16:creationId xmlns:a16="http://schemas.microsoft.com/office/drawing/2014/main" id="{ED81B073-8852-421B-AFC4-3049DFD23273}"/>
            </a:ext>
          </a:extLst>
        </xdr:cNvPr>
        <xdr:cNvSpPr txBox="1"/>
      </xdr:nvSpPr>
      <xdr:spPr>
        <a:xfrm>
          <a:off x="194388" y="4166377"/>
          <a:ext cx="2630714" cy="751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1" baseline="0">
              <a:solidFill>
                <a:schemeClr val="dk1"/>
              </a:solidFill>
              <a:effectLst/>
              <a:latin typeface="Times New Roman" panose="02020603050405020304" pitchFamily="18" charset="0"/>
              <a:ea typeface="+mn-ea"/>
              <a:cs typeface="Times New Roman" panose="02020603050405020304" pitchFamily="18" charset="0"/>
            </a:rPr>
            <a:t>Revenue</a:t>
          </a:r>
          <a:r>
            <a:rPr lang="en-US" sz="1050" b="0" baseline="0">
              <a:solidFill>
                <a:schemeClr val="dk1"/>
              </a:solidFill>
              <a:effectLst/>
              <a:latin typeface="Times New Roman" panose="02020603050405020304" pitchFamily="18" charset="0"/>
              <a:ea typeface="+mn-ea"/>
              <a:cs typeface="Times New Roman" panose="02020603050405020304" pitchFamily="18" charset="0"/>
            </a:rPr>
            <a:t> peaks in </a:t>
          </a:r>
          <a:r>
            <a:rPr lang="en-US" sz="1050" b="1" baseline="0">
              <a:solidFill>
                <a:schemeClr val="dk1"/>
              </a:solidFill>
              <a:effectLst/>
              <a:latin typeface="Times New Roman" panose="02020603050405020304" pitchFamily="18" charset="0"/>
              <a:ea typeface="+mn-ea"/>
              <a:cs typeface="Times New Roman" panose="02020603050405020304" pitchFamily="18" charset="0"/>
            </a:rPr>
            <a:t>December</a:t>
          </a:r>
          <a:r>
            <a:rPr lang="en-US" sz="1050" b="0" baseline="0">
              <a:solidFill>
                <a:schemeClr val="tx2">
                  <a:lumMod val="50000"/>
                </a:schemeClr>
              </a:solidFill>
              <a:effectLst/>
              <a:latin typeface="Times New Roman" panose="02020603050405020304" pitchFamily="18" charset="0"/>
              <a:ea typeface="+mn-ea"/>
              <a:cs typeface="Times New Roman" panose="02020603050405020304" pitchFamily="18" charset="0"/>
            </a:rPr>
            <a:t>, suggesting strong year-end demand. Inventory should be prepared ahead of the peak period. And delivery capacity accordingly.</a:t>
          </a:r>
          <a:endParaRPr lang="en-NG" sz="1050" b="0">
            <a:solidFill>
              <a:schemeClr val="tx2">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17280</xdr:colOff>
      <xdr:row>22</xdr:row>
      <xdr:rowOff>29157</xdr:rowOff>
    </xdr:from>
    <xdr:to>
      <xdr:col>8</xdr:col>
      <xdr:colOff>279745</xdr:colOff>
      <xdr:row>25</xdr:row>
      <xdr:rowOff>52236</xdr:rowOff>
    </xdr:to>
    <xdr:sp macro="" textlink="">
      <xdr:nvSpPr>
        <xdr:cNvPr id="35" name="TextBox 34">
          <a:extLst>
            <a:ext uri="{FF2B5EF4-FFF2-40B4-BE49-F238E27FC236}">
              <a16:creationId xmlns:a16="http://schemas.microsoft.com/office/drawing/2014/main" id="{EED700F0-AE41-4925-9626-5DB7CEEA4937}"/>
            </a:ext>
          </a:extLst>
        </xdr:cNvPr>
        <xdr:cNvSpPr txBox="1"/>
      </xdr:nvSpPr>
      <xdr:spPr>
        <a:xfrm>
          <a:off x="3062688" y="4163137"/>
          <a:ext cx="2089710" cy="586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0" baseline="0">
              <a:solidFill>
                <a:schemeClr val="tx2">
                  <a:lumMod val="50000"/>
                </a:schemeClr>
              </a:solidFill>
              <a:latin typeface="Times New Roman" panose="02020603050405020304" pitchFamily="18" charset="0"/>
              <a:cs typeface="Times New Roman" panose="02020603050405020304" pitchFamily="18" charset="0"/>
            </a:rPr>
            <a:t>The most profitable product being </a:t>
          </a:r>
          <a:r>
            <a:rPr lang="en-US" sz="1050" b="1" baseline="0">
              <a:solidFill>
                <a:schemeClr val="tx2">
                  <a:lumMod val="50000"/>
                </a:schemeClr>
              </a:solidFill>
              <a:latin typeface="Times New Roman" panose="02020603050405020304" pitchFamily="18" charset="0"/>
              <a:cs typeface="Times New Roman" panose="02020603050405020304" pitchFamily="18" charset="0"/>
            </a:rPr>
            <a:t>Cereal</a:t>
          </a:r>
          <a:r>
            <a:rPr lang="en-US" sz="1050" b="0" baseline="0">
              <a:solidFill>
                <a:schemeClr val="tx2">
                  <a:lumMod val="50000"/>
                </a:schemeClr>
              </a:solidFill>
              <a:latin typeface="Times New Roman" panose="02020603050405020304" pitchFamily="18" charset="0"/>
              <a:cs typeface="Times New Roman" panose="02020603050405020304" pitchFamily="18" charset="0"/>
            </a:rPr>
            <a:t> in groceries categori but </a:t>
          </a:r>
          <a:r>
            <a:rPr lang="en-US" sz="1050" b="1" baseline="0">
              <a:solidFill>
                <a:schemeClr val="tx2">
                  <a:lumMod val="50000"/>
                </a:schemeClr>
              </a:solidFill>
              <a:latin typeface="Times New Roman" panose="02020603050405020304" pitchFamily="18" charset="0"/>
              <a:cs typeface="Times New Roman" panose="02020603050405020304" pitchFamily="18" charset="0"/>
            </a:rPr>
            <a:t>Books</a:t>
          </a:r>
          <a:r>
            <a:rPr lang="en-US" sz="1050" b="0" baseline="0">
              <a:solidFill>
                <a:schemeClr val="tx2">
                  <a:lumMod val="50000"/>
                </a:schemeClr>
              </a:solidFill>
              <a:latin typeface="Times New Roman" panose="02020603050405020304" pitchFamily="18" charset="0"/>
              <a:cs typeface="Times New Roman" panose="02020603050405020304" pitchFamily="18" charset="0"/>
            </a:rPr>
            <a:t> altogether as a category generates  most profit.</a:t>
          </a:r>
          <a:endParaRPr lang="en-NG" sz="1050" b="0">
            <a:solidFill>
              <a:schemeClr val="tx2">
                <a:lumMod val="50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4</xdr:col>
      <xdr:colOff>557652</xdr:colOff>
      <xdr:row>20</xdr:row>
      <xdr:rowOff>89886</xdr:rowOff>
    </xdr:from>
    <xdr:to>
      <xdr:col>5</xdr:col>
      <xdr:colOff>174443</xdr:colOff>
      <xdr:row>21</xdr:row>
      <xdr:rowOff>76221</xdr:rowOff>
    </xdr:to>
    <xdr:pic>
      <xdr:nvPicPr>
        <xdr:cNvPr id="36" name="Picture 35">
          <a:extLst>
            <a:ext uri="{FF2B5EF4-FFF2-40B4-BE49-F238E27FC236}">
              <a16:creationId xmlns:a16="http://schemas.microsoft.com/office/drawing/2014/main" id="{6DA33EE7-E261-4288-9C86-58EF5A13C8C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rot="1453137">
          <a:off x="2993979" y="3848049"/>
          <a:ext cx="225872" cy="174243"/>
        </a:xfrm>
        <a:prstGeom prst="rect">
          <a:avLst/>
        </a:prstGeom>
      </xdr:spPr>
    </xdr:pic>
    <xdr:clientData/>
  </xdr:twoCellAnchor>
  <xdr:twoCellAnchor editAs="oneCell">
    <xdr:from>
      <xdr:col>0</xdr:col>
      <xdr:colOff>97193</xdr:colOff>
      <xdr:row>18</xdr:row>
      <xdr:rowOff>24633</xdr:rowOff>
    </xdr:from>
    <xdr:to>
      <xdr:col>0</xdr:col>
      <xdr:colOff>258929</xdr:colOff>
      <xdr:row>18</xdr:row>
      <xdr:rowOff>149401</xdr:rowOff>
    </xdr:to>
    <xdr:pic>
      <xdr:nvPicPr>
        <xdr:cNvPr id="37" name="Picture 36">
          <a:extLst>
            <a:ext uri="{FF2B5EF4-FFF2-40B4-BE49-F238E27FC236}">
              <a16:creationId xmlns:a16="http://schemas.microsoft.com/office/drawing/2014/main" id="{1394A6ED-8086-40EC-8BAF-673591D3C6D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rot="595951">
          <a:off x="97193" y="3406980"/>
          <a:ext cx="161736" cy="124768"/>
        </a:xfrm>
        <a:prstGeom prst="rect">
          <a:avLst/>
        </a:prstGeom>
      </xdr:spPr>
    </xdr:pic>
    <xdr:clientData/>
  </xdr:twoCellAnchor>
  <xdr:twoCellAnchor>
    <xdr:from>
      <xdr:col>8</xdr:col>
      <xdr:colOff>396898</xdr:colOff>
      <xdr:row>21</xdr:row>
      <xdr:rowOff>136072</xdr:rowOff>
    </xdr:from>
    <xdr:to>
      <xdr:col>8</xdr:col>
      <xdr:colOff>401735</xdr:colOff>
      <xdr:row>25</xdr:row>
      <xdr:rowOff>39365</xdr:rowOff>
    </xdr:to>
    <xdr:cxnSp macro="">
      <xdr:nvCxnSpPr>
        <xdr:cNvPr id="57" name="Straight Connector 56">
          <a:extLst>
            <a:ext uri="{FF2B5EF4-FFF2-40B4-BE49-F238E27FC236}">
              <a16:creationId xmlns:a16="http://schemas.microsoft.com/office/drawing/2014/main" id="{9DF2C41A-9363-98B8-32AE-D13F254C80EE}"/>
            </a:ext>
          </a:extLst>
        </xdr:cNvPr>
        <xdr:cNvCxnSpPr>
          <a:cxnSpLocks/>
        </xdr:cNvCxnSpPr>
      </xdr:nvCxnSpPr>
      <xdr:spPr>
        <a:xfrm flipH="1">
          <a:off x="5269551" y="4082143"/>
          <a:ext cx="4837" cy="65492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335471</xdr:colOff>
      <xdr:row>21</xdr:row>
      <xdr:rowOff>152401</xdr:rowOff>
    </xdr:from>
    <xdr:to>
      <xdr:col>4</xdr:col>
      <xdr:colOff>340308</xdr:colOff>
      <xdr:row>25</xdr:row>
      <xdr:rowOff>55694</xdr:rowOff>
    </xdr:to>
    <xdr:cxnSp macro="">
      <xdr:nvCxnSpPr>
        <xdr:cNvPr id="64" name="Straight Connector 63">
          <a:extLst>
            <a:ext uri="{FF2B5EF4-FFF2-40B4-BE49-F238E27FC236}">
              <a16:creationId xmlns:a16="http://schemas.microsoft.com/office/drawing/2014/main" id="{98300DF4-3529-3FF0-9A21-B8AD5259DBD1}"/>
            </a:ext>
          </a:extLst>
        </xdr:cNvPr>
        <xdr:cNvCxnSpPr>
          <a:cxnSpLocks/>
        </xdr:cNvCxnSpPr>
      </xdr:nvCxnSpPr>
      <xdr:spPr>
        <a:xfrm flipH="1">
          <a:off x="2771798" y="4098472"/>
          <a:ext cx="4837" cy="65492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291582</xdr:colOff>
      <xdr:row>0</xdr:row>
      <xdr:rowOff>12953</xdr:rowOff>
    </xdr:from>
    <xdr:to>
      <xdr:col>19</xdr:col>
      <xdr:colOff>479631</xdr:colOff>
      <xdr:row>1</xdr:row>
      <xdr:rowOff>161595</xdr:rowOff>
    </xdr:to>
    <mc:AlternateContent xmlns:mc="http://schemas.openxmlformats.org/markup-compatibility/2006">
      <mc:Choice xmlns:a14="http://schemas.microsoft.com/office/drawing/2010/main" Requires="a14">
        <xdr:graphicFrame macro="">
          <xdr:nvGraphicFramePr>
            <xdr:cNvPr id="66" name="month 1">
              <a:extLst>
                <a:ext uri="{FF2B5EF4-FFF2-40B4-BE49-F238E27FC236}">
                  <a16:creationId xmlns:a16="http://schemas.microsoft.com/office/drawing/2014/main" id="{08F6F105-78A7-4699-A636-4D221A1C46B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6382398" y="12953"/>
              <a:ext cx="5669784" cy="3365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fiat Ololade Ajayi" refreshedDate="46262.505796990743" backgroundQuery="1" createdVersion="8" refreshedVersion="8" minRefreshableVersion="3" recordCount="0" supportSubquery="1" supportAdvancedDrill="1" xr:uid="{B058C40D-D094-46FD-A4CC-E03F2A42EBD1}">
  <cacheSource type="external" connectionId="1"/>
  <cacheFields count="6">
    <cacheField name="[Measures].[Sum of Revenue]" caption="Sum of Revenue" numFmtId="0" hierarchy="21" level="32767"/>
    <cacheField name="[Measures].[Sum of Cost]" caption="Sum of Cost" numFmtId="0" hierarchy="22" level="32767"/>
    <cacheField name="[Measures].[Sum of Profit]" caption="Sum of Profit" numFmtId="0" hierarchy="23" level="32767"/>
    <cacheField name="[Work].[Product Category].[Product Category]" caption="Product Category" numFmtId="0" hierarchy="2" level="1">
      <sharedItems count="5">
        <s v="Apparel"/>
        <s v="Books"/>
        <s v="Electronics"/>
        <s v="Groceries"/>
        <s v="Home Decor"/>
      </sharedItems>
    </cacheField>
    <cacheField name="[Work].[Payment Method].[Payment Method]" caption="Payment Method" numFmtId="0" hierarchy="18" level="1">
      <sharedItems containsSemiMixedTypes="0" containsNonDate="0" containsString="0"/>
    </cacheField>
    <cacheField name="[Work].[Country].[Country]" caption="Country" numFmtId="0" hierarchy="17" level="1">
      <sharedItems containsSemiMixedTypes="0" containsNonDate="0" containsString="0"/>
    </cacheField>
  </cacheFields>
  <cacheHierarchies count="29">
    <cacheHierarchy uniqueName="[Work].[Order ID]" caption="Order ID" attribute="1" defaultMemberUniqueName="[Work].[Order ID].[All]" allUniqueName="[Work].[Order ID].[All]" dimensionUniqueName="[Work]" displayFolder="" count="0" memberValueDatatype="20" unbalanced="0"/>
    <cacheHierarchy uniqueName="[Work].[Customer Name]" caption="Customer Name" attribute="1" defaultMemberUniqueName="[Work].[Customer Name].[All]" allUniqueName="[Work].[Customer Name].[All]" dimensionUniqueName="[Work]" displayFolder="" count="0" memberValueDatatype="130" unbalanced="0"/>
    <cacheHierarchy uniqueName="[Work].[Product Category]" caption="Product Category" attribute="1" defaultMemberUniqueName="[Work].[Product Category].[All]" allUniqueName="[Work].[Product Category].[All]" dimensionUniqueName="[Work]" displayFolder="" count="2" memberValueDatatype="130" unbalanced="0">
      <fieldsUsage count="2">
        <fieldUsage x="-1"/>
        <fieldUsage x="3"/>
      </fieldsUsage>
    </cacheHierarchy>
    <cacheHierarchy uniqueName="[Work].[Product Name]" caption="Product Name" attribute="1" defaultMemberUniqueName="[Work].[Product Name].[All]" allUniqueName="[Work].[Product Name].[All]" dimensionUniqueName="[Work]" displayFolder="" count="0" memberValueDatatype="130" unbalanced="0"/>
    <cacheHierarchy uniqueName="[Work].[Order Date]" caption="Order Date" attribute="1" time="1" defaultMemberUniqueName="[Work].[Order Date].[All]" allUniqueName="[Work].[Order Date].[All]" dimensionUniqueName="[Work]" displayFolder="" count="0" memberValueDatatype="7" unbalanced="0"/>
    <cacheHierarchy uniqueName="[Work].[Delivered Date]" caption="Delivered Date" attribute="1" time="1" defaultMemberUniqueName="[Work].[Delivered Date].[All]" allUniqueName="[Work].[Delivered Date].[All]" dimensionUniqueName="[Work]" displayFolder="" count="0" memberValueDatatype="7" unbalanced="0"/>
    <cacheHierarchy uniqueName="[Work].[month]" caption="month" attribute="1" defaultMemberUniqueName="[Work].[month].[All]" allUniqueName="[Work].[month].[All]" dimensionUniqueName="[Work]" displayFolder="" count="0" memberValueDatatype="130" unbalanced="0"/>
    <cacheHierarchy uniqueName="[Work].[MONTH2]" caption="MONTH2" attribute="1" defaultMemberUniqueName="[Work].[MONTH2].[All]" allUniqueName="[Work].[MONTH2].[All]" dimensionUniqueName="[Work]" displayFolder="" count="0" memberValueDatatype="20" unbalanced="0"/>
    <cacheHierarchy uniqueName="[Work].[Day]" caption="Day" attribute="1" defaultMemberUniqueName="[Work].[Day].[All]" allUniqueName="[Work].[Day].[All]" dimensionUniqueName="[Work]" displayFolder="" count="0" memberValueDatatype="130" unbalanced="0"/>
    <cacheHierarchy uniqueName="[Work].[cost percentage]" caption="cost percentage" attribute="1" defaultMemberUniqueName="[Work].[cost percentage].[All]" allUniqueName="[Work].[cost percentage].[All]" dimensionUniqueName="[Work]" displayFolder="" count="0" memberValueDatatype="5" unbalanced="0"/>
    <cacheHierarchy uniqueName="[Work].[Unit Price]" caption="Unit Price" attribute="1" defaultMemberUniqueName="[Work].[Unit Price].[All]" allUniqueName="[Work].[Unit Price].[All]" dimensionUniqueName="[Work]" displayFolder="" count="0" memberValueDatatype="20" unbalanced="0"/>
    <cacheHierarchy uniqueName="[Work].[Revenue]" caption="Revenue" attribute="1" defaultMemberUniqueName="[Work].[Revenue].[All]" allUniqueName="[Work].[Revenue].[All]" dimensionUniqueName="[Work]" displayFolder="" count="0" memberValueDatatype="20" unbalanced="0"/>
    <cacheHierarchy uniqueName="[Work].[Cost]" caption="Cost" attribute="1" defaultMemberUniqueName="[Work].[Cost].[All]" allUniqueName="[Work].[Cost].[All]" dimensionUniqueName="[Work]" displayFolder="" count="0" memberValueDatatype="5" unbalanced="0"/>
    <cacheHierarchy uniqueName="[Work].[Profit]" caption="Profit" attribute="1" defaultMemberUniqueName="[Work].[Profit].[All]" allUniqueName="[Work].[Profit].[All]" dimensionUniqueName="[Work]" displayFolder="" count="0" memberValueDatatype="5" unbalanced="0"/>
    <cacheHierarchy uniqueName="[Work].[Quantity]" caption="Quantity" attribute="1" defaultMemberUniqueName="[Work].[Quantity].[All]" allUniqueName="[Work].[Quantity].[All]" dimensionUniqueName="[Work]" displayFolder="" count="0" memberValueDatatype="20" unbalanced="0"/>
    <cacheHierarchy uniqueName="[Work].[Delivery Time]" caption="Delivery Time" attribute="1" defaultMemberUniqueName="[Work].[Delivery Time].[All]" allUniqueName="[Work].[Delivery Time].[All]" dimensionUniqueName="[Work]" displayFolder="" count="0" memberValueDatatype="20" unbalanced="0"/>
    <cacheHierarchy uniqueName="[Work].[Status]" caption="Status" attribute="1" defaultMemberUniqueName="[Work].[Status].[All]" allUniqueName="[Work].[Status].[All]" dimensionUniqueName="[Work]" displayFolder="" count="0" memberValueDatatype="130" unbalanced="0"/>
    <cacheHierarchy uniqueName="[Work].[Country]" caption="Country" attribute="1" defaultMemberUniqueName="[Work].[Country].[All]" allUniqueName="[Work].[Country].[All]" dimensionUniqueName="[Work]" displayFolder="" count="2" memberValueDatatype="130" unbalanced="0">
      <fieldsUsage count="2">
        <fieldUsage x="-1"/>
        <fieldUsage x="5"/>
      </fieldsUsage>
    </cacheHierarchy>
    <cacheHierarchy uniqueName="[Work].[Payment Method]" caption="Payment Method" attribute="1" defaultMemberUniqueName="[Work].[Payment Method].[All]" allUniqueName="[Work].[Payment Method].[All]" dimensionUniqueName="[Work]" displayFolder="" count="2" memberValueDatatype="130" unbalanced="0">
      <fieldsUsage count="2">
        <fieldUsage x="-1"/>
        <fieldUsage x="4"/>
      </fieldsUsage>
    </cacheHierarchy>
    <cacheHierarchy uniqueName="[Measures].[__XL_Count Work]" caption="__XL_Count Work" measure="1" displayFolder="" measureGroup="Work" count="0" hidden="1"/>
    <cacheHierarchy uniqueName="[Measures].[__No measures defined]" caption="__No measures defined" measure="1" displayFolder="" count="0" hidden="1"/>
    <cacheHierarchy uniqueName="[Measures].[Sum of Revenue]" caption="Sum of Revenue" measure="1" displayFolder="" measureGroup="Work"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Cost]" caption="Sum of Cost" measure="1" displayFolder="" measureGroup="Work"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Work"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Quantity]" caption="Sum of Quantity" measure="1" displayFolder="" measureGroup="Work" count="0" hidden="1">
      <extLst>
        <ext xmlns:x15="http://schemas.microsoft.com/office/spreadsheetml/2010/11/main" uri="{B97F6D7D-B522-45F9-BDA1-12C45D357490}">
          <x15:cacheHierarchy aggregatedColumn="14"/>
        </ext>
      </extLst>
    </cacheHierarchy>
    <cacheHierarchy uniqueName="[Measures].[Sum of Delivery Time]" caption="Sum of Delivery Time" measure="1" displayFolder="" measureGroup="Work" count="0" hidden="1">
      <extLst>
        <ext xmlns:x15="http://schemas.microsoft.com/office/spreadsheetml/2010/11/main" uri="{B97F6D7D-B522-45F9-BDA1-12C45D357490}">
          <x15:cacheHierarchy aggregatedColumn="15"/>
        </ext>
      </extLst>
    </cacheHierarchy>
    <cacheHierarchy uniqueName="[Measures].[Average of Delivery Time]" caption="Average of Delivery Time" measure="1" displayFolder="" measureGroup="Work" count="0" hidden="1">
      <extLst>
        <ext xmlns:x15="http://schemas.microsoft.com/office/spreadsheetml/2010/11/main" uri="{B97F6D7D-B522-45F9-BDA1-12C45D357490}">
          <x15:cacheHierarchy aggregatedColumn="15"/>
        </ext>
      </extLst>
    </cacheHierarchy>
    <cacheHierarchy uniqueName="[Measures].[Sum of Order ID]" caption="Sum of Order ID" measure="1" displayFolder="" measureGroup="Work"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Work"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Work" uniqueName="[Work]" caption="Work"/>
  </dimensions>
  <measureGroups count="1">
    <measureGroup name="Work" caption="Work"/>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fiat Ololade Ajayi" refreshedDate="46262.505799768522" backgroundQuery="1" createdVersion="8" refreshedVersion="8" minRefreshableVersion="3" recordCount="0" supportSubquery="1" supportAdvancedDrill="1" xr:uid="{98EC10D1-EDB2-49B8-BECB-B78E419065DA}">
  <cacheSource type="external" connectionId="1"/>
  <cacheFields count="5">
    <cacheField name="[Measures].[Sum of Profit]" caption="Sum of Profit" numFmtId="0" hierarchy="23" level="32767"/>
    <cacheField name="[Work].[Product Name].[Product Name]" caption="Product Name" numFmtId="0" hierarchy="3" level="1">
      <sharedItems count="5">
        <s v="Biography"/>
        <s v="Cereal"/>
        <s v="Children's Book"/>
        <s v="Fiction"/>
        <s v="Non-Fiction"/>
      </sharedItems>
    </cacheField>
    <cacheField name="[Work].[Product Category].[Product Category]" caption="Product Category" numFmtId="0" hierarchy="2" level="1">
      <sharedItems count="2">
        <s v="Books"/>
        <s v="Groceries"/>
      </sharedItems>
    </cacheField>
    <cacheField name="[Work].[Payment Method].[Payment Method]" caption="Payment Method" numFmtId="0" hierarchy="18" level="1">
      <sharedItems containsSemiMixedTypes="0" containsNonDate="0" containsString="0"/>
    </cacheField>
    <cacheField name="[Work].[Country].[Country]" caption="Country" numFmtId="0" hierarchy="17" level="1">
      <sharedItems containsSemiMixedTypes="0" containsNonDate="0" containsString="0"/>
    </cacheField>
  </cacheFields>
  <cacheHierarchies count="29">
    <cacheHierarchy uniqueName="[Work].[Order ID]" caption="Order ID" attribute="1" defaultMemberUniqueName="[Work].[Order ID].[All]" allUniqueName="[Work].[Order ID].[All]" dimensionUniqueName="[Work]" displayFolder="" count="0" memberValueDatatype="20" unbalanced="0"/>
    <cacheHierarchy uniqueName="[Work].[Customer Name]" caption="Customer Name" attribute="1" defaultMemberUniqueName="[Work].[Customer Name].[All]" allUniqueName="[Work].[Customer Name].[All]" dimensionUniqueName="[Work]" displayFolder="" count="0" memberValueDatatype="130" unbalanced="0"/>
    <cacheHierarchy uniqueName="[Work].[Product Category]" caption="Product Category" attribute="1" defaultMemberUniqueName="[Work].[Product Category].[All]" allUniqueName="[Work].[Product Category].[All]" dimensionUniqueName="[Work]" displayFolder="" count="2" memberValueDatatype="130" unbalanced="0">
      <fieldsUsage count="2">
        <fieldUsage x="-1"/>
        <fieldUsage x="2"/>
      </fieldsUsage>
    </cacheHierarchy>
    <cacheHierarchy uniqueName="[Work].[Product Name]" caption="Product Name" attribute="1" defaultMemberUniqueName="[Work].[Product Name].[All]" allUniqueName="[Work].[Product Name].[All]" dimensionUniqueName="[Work]" displayFolder="" count="2" memberValueDatatype="130" unbalanced="0">
      <fieldsUsage count="2">
        <fieldUsage x="-1"/>
        <fieldUsage x="1"/>
      </fieldsUsage>
    </cacheHierarchy>
    <cacheHierarchy uniqueName="[Work].[Order Date]" caption="Order Date" attribute="1" time="1" defaultMemberUniqueName="[Work].[Order Date].[All]" allUniqueName="[Work].[Order Date].[All]" dimensionUniqueName="[Work]" displayFolder="" count="0" memberValueDatatype="7" unbalanced="0"/>
    <cacheHierarchy uniqueName="[Work].[Delivered Date]" caption="Delivered Date" attribute="1" time="1" defaultMemberUniqueName="[Work].[Delivered Date].[All]" allUniqueName="[Work].[Delivered Date].[All]" dimensionUniqueName="[Work]" displayFolder="" count="0" memberValueDatatype="7" unbalanced="0"/>
    <cacheHierarchy uniqueName="[Work].[month]" caption="month" attribute="1" defaultMemberUniqueName="[Work].[month].[All]" allUniqueName="[Work].[month].[All]" dimensionUniqueName="[Work]" displayFolder="" count="0" memberValueDatatype="130" unbalanced="0"/>
    <cacheHierarchy uniqueName="[Work].[MONTH2]" caption="MONTH2" attribute="1" defaultMemberUniqueName="[Work].[MONTH2].[All]" allUniqueName="[Work].[MONTH2].[All]" dimensionUniqueName="[Work]" displayFolder="" count="0" memberValueDatatype="20" unbalanced="0"/>
    <cacheHierarchy uniqueName="[Work].[Day]" caption="Day" attribute="1" defaultMemberUniqueName="[Work].[Day].[All]" allUniqueName="[Work].[Day].[All]" dimensionUniqueName="[Work]" displayFolder="" count="0" memberValueDatatype="130" unbalanced="0"/>
    <cacheHierarchy uniqueName="[Work].[cost percentage]" caption="cost percentage" attribute="1" defaultMemberUniqueName="[Work].[cost percentage].[All]" allUniqueName="[Work].[cost percentage].[All]" dimensionUniqueName="[Work]" displayFolder="" count="0" memberValueDatatype="5" unbalanced="0"/>
    <cacheHierarchy uniqueName="[Work].[Unit Price]" caption="Unit Price" attribute="1" defaultMemberUniqueName="[Work].[Unit Price].[All]" allUniqueName="[Work].[Unit Price].[All]" dimensionUniqueName="[Work]" displayFolder="" count="0" memberValueDatatype="20" unbalanced="0"/>
    <cacheHierarchy uniqueName="[Work].[Revenue]" caption="Revenue" attribute="1" defaultMemberUniqueName="[Work].[Revenue].[All]" allUniqueName="[Work].[Revenue].[All]" dimensionUniqueName="[Work]" displayFolder="" count="0" memberValueDatatype="20" unbalanced="0"/>
    <cacheHierarchy uniqueName="[Work].[Cost]" caption="Cost" attribute="1" defaultMemberUniqueName="[Work].[Cost].[All]" allUniqueName="[Work].[Cost].[All]" dimensionUniqueName="[Work]" displayFolder="" count="0" memberValueDatatype="5" unbalanced="0"/>
    <cacheHierarchy uniqueName="[Work].[Profit]" caption="Profit" attribute="1" defaultMemberUniqueName="[Work].[Profit].[All]" allUniqueName="[Work].[Profit].[All]" dimensionUniqueName="[Work]" displayFolder="" count="0" memberValueDatatype="5" unbalanced="0"/>
    <cacheHierarchy uniqueName="[Work].[Quantity]" caption="Quantity" attribute="1" defaultMemberUniqueName="[Work].[Quantity].[All]" allUniqueName="[Work].[Quantity].[All]" dimensionUniqueName="[Work]" displayFolder="" count="0" memberValueDatatype="20" unbalanced="0"/>
    <cacheHierarchy uniqueName="[Work].[Delivery Time]" caption="Delivery Time" attribute="1" defaultMemberUniqueName="[Work].[Delivery Time].[All]" allUniqueName="[Work].[Delivery Time].[All]" dimensionUniqueName="[Work]" displayFolder="" count="0" memberValueDatatype="20" unbalanced="0"/>
    <cacheHierarchy uniqueName="[Work].[Status]" caption="Status" attribute="1" defaultMemberUniqueName="[Work].[Status].[All]" allUniqueName="[Work].[Status].[All]" dimensionUniqueName="[Work]" displayFolder="" count="0" memberValueDatatype="130" unbalanced="0"/>
    <cacheHierarchy uniqueName="[Work].[Country]" caption="Country" attribute="1" defaultMemberUniqueName="[Work].[Country].[All]" allUniqueName="[Work].[Country].[All]" dimensionUniqueName="[Work]" displayFolder="" count="2" memberValueDatatype="130" unbalanced="0">
      <fieldsUsage count="2">
        <fieldUsage x="-1"/>
        <fieldUsage x="4"/>
      </fieldsUsage>
    </cacheHierarchy>
    <cacheHierarchy uniqueName="[Work].[Payment Method]" caption="Payment Method" attribute="1" defaultMemberUniqueName="[Work].[Payment Method].[All]" allUniqueName="[Work].[Payment Method].[All]" dimensionUniqueName="[Work]" displayFolder="" count="2" memberValueDatatype="130" unbalanced="0">
      <fieldsUsage count="2">
        <fieldUsage x="-1"/>
        <fieldUsage x="3"/>
      </fieldsUsage>
    </cacheHierarchy>
    <cacheHierarchy uniqueName="[Measures].[__XL_Count Work]" caption="__XL_Count Work" measure="1" displayFolder="" measureGroup="Work" count="0" hidden="1"/>
    <cacheHierarchy uniqueName="[Measures].[__No measures defined]" caption="__No measures defined" measure="1" displayFolder="" count="0" hidden="1"/>
    <cacheHierarchy uniqueName="[Measures].[Sum of Revenue]" caption="Sum of Revenue" measure="1" displayFolder="" measureGroup="Work"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Work"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Work"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Quantity]" caption="Sum of Quantity" measure="1" displayFolder="" measureGroup="Work" count="0" hidden="1">
      <extLst>
        <ext xmlns:x15="http://schemas.microsoft.com/office/spreadsheetml/2010/11/main" uri="{B97F6D7D-B522-45F9-BDA1-12C45D357490}">
          <x15:cacheHierarchy aggregatedColumn="14"/>
        </ext>
      </extLst>
    </cacheHierarchy>
    <cacheHierarchy uniqueName="[Measures].[Sum of Delivery Time]" caption="Sum of Delivery Time" measure="1" displayFolder="" measureGroup="Work" count="0" hidden="1">
      <extLst>
        <ext xmlns:x15="http://schemas.microsoft.com/office/spreadsheetml/2010/11/main" uri="{B97F6D7D-B522-45F9-BDA1-12C45D357490}">
          <x15:cacheHierarchy aggregatedColumn="15"/>
        </ext>
      </extLst>
    </cacheHierarchy>
    <cacheHierarchy uniqueName="[Measures].[Average of Delivery Time]" caption="Average of Delivery Time" measure="1" displayFolder="" measureGroup="Work" count="0" hidden="1">
      <extLst>
        <ext xmlns:x15="http://schemas.microsoft.com/office/spreadsheetml/2010/11/main" uri="{B97F6D7D-B522-45F9-BDA1-12C45D357490}">
          <x15:cacheHierarchy aggregatedColumn="15"/>
        </ext>
      </extLst>
    </cacheHierarchy>
    <cacheHierarchy uniqueName="[Measures].[Sum of Order ID]" caption="Sum of Order ID" measure="1" displayFolder="" measureGroup="Work"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Work"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Work" uniqueName="[Work]" caption="Work"/>
  </dimensions>
  <measureGroups count="1">
    <measureGroup name="Work" caption="Work"/>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fiat Ololade Ajayi" refreshedDate="46262.505803935186" backgroundQuery="1" createdVersion="8" refreshedVersion="8" minRefreshableVersion="3" recordCount="0" supportSubquery="1" supportAdvancedDrill="1" xr:uid="{C6E7C3F8-BA0E-4FC3-B60B-AEC9FC23F69B}">
  <cacheSource type="external" connectionId="1"/>
  <cacheFields count="4">
    <cacheField name="[Work].[Status].[Status]" caption="Status" numFmtId="0" hierarchy="16" level="1">
      <sharedItems count="2">
        <s v="Completed"/>
        <s v="Returned"/>
      </sharedItems>
    </cacheField>
    <cacheField name="[Measures].[Count of Order ID]" caption="Count of Order ID" numFmtId="0" hierarchy="28" level="32767"/>
    <cacheField name="[Work].[Payment Method].[Payment Method]" caption="Payment Method" numFmtId="0" hierarchy="18" level="1">
      <sharedItems containsSemiMixedTypes="0" containsNonDate="0" containsString="0"/>
    </cacheField>
    <cacheField name="[Work].[Country].[Country]" caption="Country" numFmtId="0" hierarchy="17" level="1">
      <sharedItems containsSemiMixedTypes="0" containsNonDate="0" containsString="0"/>
    </cacheField>
  </cacheFields>
  <cacheHierarchies count="29">
    <cacheHierarchy uniqueName="[Work].[Order ID]" caption="Order ID" attribute="1" defaultMemberUniqueName="[Work].[Order ID].[All]" allUniqueName="[Work].[Order ID].[All]" dimensionUniqueName="[Work]" displayFolder="" count="0" memberValueDatatype="20" unbalanced="0"/>
    <cacheHierarchy uniqueName="[Work].[Customer Name]" caption="Customer Name" attribute="1" defaultMemberUniqueName="[Work].[Customer Name].[All]" allUniqueName="[Work].[Customer Name].[All]" dimensionUniqueName="[Work]" displayFolder="" count="0" memberValueDatatype="130" unbalanced="0"/>
    <cacheHierarchy uniqueName="[Work].[Product Category]" caption="Product Category" attribute="1" defaultMemberUniqueName="[Work].[Product Category].[All]" allUniqueName="[Work].[Product Category].[All]" dimensionUniqueName="[Work]" displayFolder="" count="0" memberValueDatatype="130" unbalanced="0"/>
    <cacheHierarchy uniqueName="[Work].[Product Name]" caption="Product Name" attribute="1" defaultMemberUniqueName="[Work].[Product Name].[All]" allUniqueName="[Work].[Product Name].[All]" dimensionUniqueName="[Work]" displayFolder="" count="0" memberValueDatatype="130" unbalanced="0"/>
    <cacheHierarchy uniqueName="[Work].[Order Date]" caption="Order Date" attribute="1" time="1" defaultMemberUniqueName="[Work].[Order Date].[All]" allUniqueName="[Work].[Order Date].[All]" dimensionUniqueName="[Work]" displayFolder="" count="0" memberValueDatatype="7" unbalanced="0"/>
    <cacheHierarchy uniqueName="[Work].[Delivered Date]" caption="Delivered Date" attribute="1" time="1" defaultMemberUniqueName="[Work].[Delivered Date].[All]" allUniqueName="[Work].[Delivered Date].[All]" dimensionUniqueName="[Work]" displayFolder="" count="0" memberValueDatatype="7" unbalanced="0"/>
    <cacheHierarchy uniqueName="[Work].[month]" caption="month" attribute="1" defaultMemberUniqueName="[Work].[month].[All]" allUniqueName="[Work].[month].[All]" dimensionUniqueName="[Work]" displayFolder="" count="0" memberValueDatatype="130" unbalanced="0"/>
    <cacheHierarchy uniqueName="[Work].[MONTH2]" caption="MONTH2" attribute="1" defaultMemberUniqueName="[Work].[MONTH2].[All]" allUniqueName="[Work].[MONTH2].[All]" dimensionUniqueName="[Work]" displayFolder="" count="0" memberValueDatatype="20" unbalanced="0"/>
    <cacheHierarchy uniqueName="[Work].[Day]" caption="Day" attribute="1" defaultMemberUniqueName="[Work].[Day].[All]" allUniqueName="[Work].[Day].[All]" dimensionUniqueName="[Work]" displayFolder="" count="0" memberValueDatatype="130" unbalanced="0"/>
    <cacheHierarchy uniqueName="[Work].[cost percentage]" caption="cost percentage" attribute="1" defaultMemberUniqueName="[Work].[cost percentage].[All]" allUniqueName="[Work].[cost percentage].[All]" dimensionUniqueName="[Work]" displayFolder="" count="0" memberValueDatatype="5" unbalanced="0"/>
    <cacheHierarchy uniqueName="[Work].[Unit Price]" caption="Unit Price" attribute="1" defaultMemberUniqueName="[Work].[Unit Price].[All]" allUniqueName="[Work].[Unit Price].[All]" dimensionUniqueName="[Work]" displayFolder="" count="0" memberValueDatatype="20" unbalanced="0"/>
    <cacheHierarchy uniqueName="[Work].[Revenue]" caption="Revenue" attribute="1" defaultMemberUniqueName="[Work].[Revenue].[All]" allUniqueName="[Work].[Revenue].[All]" dimensionUniqueName="[Work]" displayFolder="" count="0" memberValueDatatype="20" unbalanced="0"/>
    <cacheHierarchy uniqueName="[Work].[Cost]" caption="Cost" attribute="1" defaultMemberUniqueName="[Work].[Cost].[All]" allUniqueName="[Work].[Cost].[All]" dimensionUniqueName="[Work]" displayFolder="" count="0" memberValueDatatype="5" unbalanced="0"/>
    <cacheHierarchy uniqueName="[Work].[Profit]" caption="Profit" attribute="1" defaultMemberUniqueName="[Work].[Profit].[All]" allUniqueName="[Work].[Profit].[All]" dimensionUniqueName="[Work]" displayFolder="" count="0" memberValueDatatype="5" unbalanced="0"/>
    <cacheHierarchy uniqueName="[Work].[Quantity]" caption="Quantity" attribute="1" defaultMemberUniqueName="[Work].[Quantity].[All]" allUniqueName="[Work].[Quantity].[All]" dimensionUniqueName="[Work]" displayFolder="" count="0" memberValueDatatype="20" unbalanced="0"/>
    <cacheHierarchy uniqueName="[Work].[Delivery Time]" caption="Delivery Time" attribute="1" defaultMemberUniqueName="[Work].[Delivery Time].[All]" allUniqueName="[Work].[Delivery Time].[All]" dimensionUniqueName="[Work]" displayFolder="" count="0" memberValueDatatype="20" unbalanced="0"/>
    <cacheHierarchy uniqueName="[Work].[Status]" caption="Status" attribute="1" defaultMemberUniqueName="[Work].[Status].[All]" allUniqueName="[Work].[Status].[All]" dimensionUniqueName="[Work]" displayFolder="" count="2" memberValueDatatype="130" unbalanced="0">
      <fieldsUsage count="2">
        <fieldUsage x="-1"/>
        <fieldUsage x="0"/>
      </fieldsUsage>
    </cacheHierarchy>
    <cacheHierarchy uniqueName="[Work].[Country]" caption="Country" attribute="1" defaultMemberUniqueName="[Work].[Country].[All]" allUniqueName="[Work].[Country].[All]" dimensionUniqueName="[Work]" displayFolder="" count="2" memberValueDatatype="130" unbalanced="0">
      <fieldsUsage count="2">
        <fieldUsage x="-1"/>
        <fieldUsage x="3"/>
      </fieldsUsage>
    </cacheHierarchy>
    <cacheHierarchy uniqueName="[Work].[Payment Method]" caption="Payment Method" attribute="1" defaultMemberUniqueName="[Work].[Payment Method].[All]" allUniqueName="[Work].[Payment Method].[All]" dimensionUniqueName="[Work]" displayFolder="" count="2" memberValueDatatype="130" unbalanced="0">
      <fieldsUsage count="2">
        <fieldUsage x="-1"/>
        <fieldUsage x="2"/>
      </fieldsUsage>
    </cacheHierarchy>
    <cacheHierarchy uniqueName="[Measures].[__XL_Count Work]" caption="__XL_Count Work" measure="1" displayFolder="" measureGroup="Work" count="0" hidden="1"/>
    <cacheHierarchy uniqueName="[Measures].[__No measures defined]" caption="__No measures defined" measure="1" displayFolder="" count="0" hidden="1"/>
    <cacheHierarchy uniqueName="[Measures].[Sum of Revenue]" caption="Sum of Revenue" measure="1" displayFolder="" measureGroup="Work"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Work"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Work"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Work" count="0" hidden="1">
      <extLst>
        <ext xmlns:x15="http://schemas.microsoft.com/office/spreadsheetml/2010/11/main" uri="{B97F6D7D-B522-45F9-BDA1-12C45D357490}">
          <x15:cacheHierarchy aggregatedColumn="14"/>
        </ext>
      </extLst>
    </cacheHierarchy>
    <cacheHierarchy uniqueName="[Measures].[Sum of Delivery Time]" caption="Sum of Delivery Time" measure="1" displayFolder="" measureGroup="Work" count="0" hidden="1">
      <extLst>
        <ext xmlns:x15="http://schemas.microsoft.com/office/spreadsheetml/2010/11/main" uri="{B97F6D7D-B522-45F9-BDA1-12C45D357490}">
          <x15:cacheHierarchy aggregatedColumn="15"/>
        </ext>
      </extLst>
    </cacheHierarchy>
    <cacheHierarchy uniqueName="[Measures].[Average of Delivery Time]" caption="Average of Delivery Time" measure="1" displayFolder="" measureGroup="Work" count="0" hidden="1">
      <extLst>
        <ext xmlns:x15="http://schemas.microsoft.com/office/spreadsheetml/2010/11/main" uri="{B97F6D7D-B522-45F9-BDA1-12C45D357490}">
          <x15:cacheHierarchy aggregatedColumn="15"/>
        </ext>
      </extLst>
    </cacheHierarchy>
    <cacheHierarchy uniqueName="[Measures].[Sum of Order ID]" caption="Sum of Order ID" measure="1" displayFolder="" measureGroup="Work"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Work"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Work" uniqueName="[Work]" caption="Work"/>
  </dimensions>
  <measureGroups count="1">
    <measureGroup name="Work" caption="Work"/>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fiat Ololade Ajayi" refreshedDate="46262.505821643521" backgroundQuery="1" createdVersion="8" refreshedVersion="8" minRefreshableVersion="3" recordCount="0" supportSubquery="1" supportAdvancedDrill="1" xr:uid="{59B5DCFF-EEBC-4097-B6B5-391D78763F31}">
  <cacheSource type="external" connectionId="1"/>
  <cacheFields count="6">
    <cacheField name="[Measures].[Sum of Revenue]" caption="Sum of Revenue" numFmtId="0" hierarchy="21" level="32767"/>
    <cacheField name="[Measures].[Sum of Profit]" caption="Sum of Profit" numFmtId="0" hierarchy="23" level="32767"/>
    <cacheField name="[Measures].[Sum of Cost]" caption="Sum of Cost" numFmtId="0" hierarchy="22" level="32767"/>
    <cacheField name="[Work].[month].[month]" caption="month" numFmtId="0" hierarchy="6" level="1">
      <sharedItems count="12">
        <s v="Apr"/>
        <s v="Aug"/>
        <s v="Dec"/>
        <s v="Feb"/>
        <s v="Jan"/>
        <s v="Jul"/>
        <s v="Jun"/>
        <s v="Mar"/>
        <s v="May"/>
        <s v="Nov"/>
        <s v="Oct"/>
        <s v="Sept"/>
      </sharedItems>
    </cacheField>
    <cacheField name="[Work].[Payment Method].[Payment Method]" caption="Payment Method" numFmtId="0" hierarchy="18" level="1">
      <sharedItems containsSemiMixedTypes="0" containsNonDate="0" containsString="0"/>
    </cacheField>
    <cacheField name="[Work].[Country].[Country]" caption="Country" numFmtId="0" hierarchy="17" level="1">
      <sharedItems containsSemiMixedTypes="0" containsNonDate="0" containsString="0"/>
    </cacheField>
  </cacheFields>
  <cacheHierarchies count="29">
    <cacheHierarchy uniqueName="[Work].[Order ID]" caption="Order ID" attribute="1" defaultMemberUniqueName="[Work].[Order ID].[All]" allUniqueName="[Work].[Order ID].[All]" dimensionUniqueName="[Work]" displayFolder="" count="0" memberValueDatatype="20" unbalanced="0"/>
    <cacheHierarchy uniqueName="[Work].[Customer Name]" caption="Customer Name" attribute="1" defaultMemberUniqueName="[Work].[Customer Name].[All]" allUniqueName="[Work].[Customer Name].[All]" dimensionUniqueName="[Work]" displayFolder="" count="0" memberValueDatatype="130" unbalanced="0"/>
    <cacheHierarchy uniqueName="[Work].[Product Category]" caption="Product Category" attribute="1" defaultMemberUniqueName="[Work].[Product Category].[All]" allUniqueName="[Work].[Product Category].[All]" dimensionUniqueName="[Work]" displayFolder="" count="0" memberValueDatatype="130" unbalanced="0"/>
    <cacheHierarchy uniqueName="[Work].[Product Name]" caption="Product Name" attribute="1" defaultMemberUniqueName="[Work].[Product Name].[All]" allUniqueName="[Work].[Product Name].[All]" dimensionUniqueName="[Work]" displayFolder="" count="0" memberValueDatatype="130" unbalanced="0"/>
    <cacheHierarchy uniqueName="[Work].[Order Date]" caption="Order Date" attribute="1" time="1" defaultMemberUniqueName="[Work].[Order Date].[All]" allUniqueName="[Work].[Order Date].[All]" dimensionUniqueName="[Work]" displayFolder="" count="0" memberValueDatatype="7" unbalanced="0"/>
    <cacheHierarchy uniqueName="[Work].[Delivered Date]" caption="Delivered Date" attribute="1" time="1" defaultMemberUniqueName="[Work].[Delivered Date].[All]" allUniqueName="[Work].[Delivered Date].[All]" dimensionUniqueName="[Work]" displayFolder="" count="0" memberValueDatatype="7" unbalanced="0"/>
    <cacheHierarchy uniqueName="[Work].[month]" caption="month" attribute="1" defaultMemberUniqueName="[Work].[month].[All]" allUniqueName="[Work].[month].[All]" dimensionUniqueName="[Work]" displayFolder="" count="2" memberValueDatatype="130" unbalanced="0">
      <fieldsUsage count="2">
        <fieldUsage x="-1"/>
        <fieldUsage x="3"/>
      </fieldsUsage>
    </cacheHierarchy>
    <cacheHierarchy uniqueName="[Work].[MONTH2]" caption="MONTH2" attribute="1" defaultMemberUniqueName="[Work].[MONTH2].[All]" allUniqueName="[Work].[MONTH2].[All]" dimensionUniqueName="[Work]" displayFolder="" count="0" memberValueDatatype="20" unbalanced="0"/>
    <cacheHierarchy uniqueName="[Work].[Day]" caption="Day" attribute="1" defaultMemberUniqueName="[Work].[Day].[All]" allUniqueName="[Work].[Day].[All]" dimensionUniqueName="[Work]" displayFolder="" count="0" memberValueDatatype="130" unbalanced="0"/>
    <cacheHierarchy uniqueName="[Work].[cost percentage]" caption="cost percentage" attribute="1" defaultMemberUniqueName="[Work].[cost percentage].[All]" allUniqueName="[Work].[cost percentage].[All]" dimensionUniqueName="[Work]" displayFolder="" count="0" memberValueDatatype="5" unbalanced="0"/>
    <cacheHierarchy uniqueName="[Work].[Unit Price]" caption="Unit Price" attribute="1" defaultMemberUniqueName="[Work].[Unit Price].[All]" allUniqueName="[Work].[Unit Price].[All]" dimensionUniqueName="[Work]" displayFolder="" count="0" memberValueDatatype="20" unbalanced="0"/>
    <cacheHierarchy uniqueName="[Work].[Revenue]" caption="Revenue" attribute="1" defaultMemberUniqueName="[Work].[Revenue].[All]" allUniqueName="[Work].[Revenue].[All]" dimensionUniqueName="[Work]" displayFolder="" count="0" memberValueDatatype="20" unbalanced="0"/>
    <cacheHierarchy uniqueName="[Work].[Cost]" caption="Cost" attribute="1" defaultMemberUniqueName="[Work].[Cost].[All]" allUniqueName="[Work].[Cost].[All]" dimensionUniqueName="[Work]" displayFolder="" count="0" memberValueDatatype="5" unbalanced="0"/>
    <cacheHierarchy uniqueName="[Work].[Profit]" caption="Profit" attribute="1" defaultMemberUniqueName="[Work].[Profit].[All]" allUniqueName="[Work].[Profit].[All]" dimensionUniqueName="[Work]" displayFolder="" count="0" memberValueDatatype="5" unbalanced="0"/>
    <cacheHierarchy uniqueName="[Work].[Quantity]" caption="Quantity" attribute="1" defaultMemberUniqueName="[Work].[Quantity].[All]" allUniqueName="[Work].[Quantity].[All]" dimensionUniqueName="[Work]" displayFolder="" count="0" memberValueDatatype="20" unbalanced="0"/>
    <cacheHierarchy uniqueName="[Work].[Delivery Time]" caption="Delivery Time" attribute="1" defaultMemberUniqueName="[Work].[Delivery Time].[All]" allUniqueName="[Work].[Delivery Time].[All]" dimensionUniqueName="[Work]" displayFolder="" count="0" memberValueDatatype="20" unbalanced="0"/>
    <cacheHierarchy uniqueName="[Work].[Status]" caption="Status" attribute="1" defaultMemberUniqueName="[Work].[Status].[All]" allUniqueName="[Work].[Status].[All]" dimensionUniqueName="[Work]" displayFolder="" count="0" memberValueDatatype="130" unbalanced="0"/>
    <cacheHierarchy uniqueName="[Work].[Country]" caption="Country" attribute="1" defaultMemberUniqueName="[Work].[Country].[All]" allUniqueName="[Work].[Country].[All]" dimensionUniqueName="[Work]" displayFolder="" count="2" memberValueDatatype="130" unbalanced="0">
      <fieldsUsage count="2">
        <fieldUsage x="-1"/>
        <fieldUsage x="5"/>
      </fieldsUsage>
    </cacheHierarchy>
    <cacheHierarchy uniqueName="[Work].[Payment Method]" caption="Payment Method" attribute="1" defaultMemberUniqueName="[Work].[Payment Method].[All]" allUniqueName="[Work].[Payment Method].[All]" dimensionUniqueName="[Work]" displayFolder="" count="2" memberValueDatatype="130" unbalanced="0">
      <fieldsUsage count="2">
        <fieldUsage x="-1"/>
        <fieldUsage x="4"/>
      </fieldsUsage>
    </cacheHierarchy>
    <cacheHierarchy uniqueName="[Measures].[__XL_Count Work]" caption="__XL_Count Work" measure="1" displayFolder="" measureGroup="Work" count="0" hidden="1"/>
    <cacheHierarchy uniqueName="[Measures].[__No measures defined]" caption="__No measures defined" measure="1" displayFolder="" count="0" hidden="1"/>
    <cacheHierarchy uniqueName="[Measures].[Sum of Revenue]" caption="Sum of Revenue" measure="1" displayFolder="" measureGroup="Work"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Cost]" caption="Sum of Cost" measure="1" displayFolder="" measureGroup="Work"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Work"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Quantity]" caption="Sum of Quantity" measure="1" displayFolder="" measureGroup="Work" count="0" hidden="1">
      <extLst>
        <ext xmlns:x15="http://schemas.microsoft.com/office/spreadsheetml/2010/11/main" uri="{B97F6D7D-B522-45F9-BDA1-12C45D357490}">
          <x15:cacheHierarchy aggregatedColumn="14"/>
        </ext>
      </extLst>
    </cacheHierarchy>
    <cacheHierarchy uniqueName="[Measures].[Sum of Delivery Time]" caption="Sum of Delivery Time" measure="1" displayFolder="" measureGroup="Work" count="0" hidden="1">
      <extLst>
        <ext xmlns:x15="http://schemas.microsoft.com/office/spreadsheetml/2010/11/main" uri="{B97F6D7D-B522-45F9-BDA1-12C45D357490}">
          <x15:cacheHierarchy aggregatedColumn="15"/>
        </ext>
      </extLst>
    </cacheHierarchy>
    <cacheHierarchy uniqueName="[Measures].[Average of Delivery Time]" caption="Average of Delivery Time" measure="1" displayFolder="" measureGroup="Work" count="0" hidden="1">
      <extLst>
        <ext xmlns:x15="http://schemas.microsoft.com/office/spreadsheetml/2010/11/main" uri="{B97F6D7D-B522-45F9-BDA1-12C45D357490}">
          <x15:cacheHierarchy aggregatedColumn="15"/>
        </ext>
      </extLst>
    </cacheHierarchy>
    <cacheHierarchy uniqueName="[Measures].[Sum of Order ID]" caption="Sum of Order ID" measure="1" displayFolder="" measureGroup="Work"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Work"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Work" uniqueName="[Work]" caption="Work"/>
  </dimensions>
  <measureGroups count="1">
    <measureGroup name="Work" caption="Work"/>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fiat Ololade Ajayi" refreshedDate="46262.521803819443" backgroundQuery="1" createdVersion="8" refreshedVersion="8" minRefreshableVersion="3" recordCount="0" supportSubquery="1" supportAdvancedDrill="1" xr:uid="{5D24E5D7-3C91-4CDA-82D9-DACA96A15E7E}">
  <cacheSource type="external" connectionId="1"/>
  <cacheFields count="1">
    <cacheField name="[Measures].[Average of Delivery Time]" caption="Average of Delivery Time" numFmtId="0" hierarchy="26" level="32767"/>
  </cacheFields>
  <cacheHierarchies count="29">
    <cacheHierarchy uniqueName="[Work].[Order ID]" caption="Order ID" attribute="1" defaultMemberUniqueName="[Work].[Order ID].[All]" allUniqueName="[Work].[Order ID].[All]" dimensionUniqueName="[Work]" displayFolder="" count="0" memberValueDatatype="20" unbalanced="0"/>
    <cacheHierarchy uniqueName="[Work].[Customer Name]" caption="Customer Name" attribute="1" defaultMemberUniqueName="[Work].[Customer Name].[All]" allUniqueName="[Work].[Customer Name].[All]" dimensionUniqueName="[Work]" displayFolder="" count="0" memberValueDatatype="130" unbalanced="0"/>
    <cacheHierarchy uniqueName="[Work].[Product Category]" caption="Product Category" attribute="1" defaultMemberUniqueName="[Work].[Product Category].[All]" allUniqueName="[Work].[Product Category].[All]" dimensionUniqueName="[Work]" displayFolder="" count="0" memberValueDatatype="130" unbalanced="0"/>
    <cacheHierarchy uniqueName="[Work].[Product Name]" caption="Product Name" attribute="1" defaultMemberUniqueName="[Work].[Product Name].[All]" allUniqueName="[Work].[Product Name].[All]" dimensionUniqueName="[Work]" displayFolder="" count="0" memberValueDatatype="130" unbalanced="0"/>
    <cacheHierarchy uniqueName="[Work].[Order Date]" caption="Order Date" attribute="1" time="1" defaultMemberUniqueName="[Work].[Order Date].[All]" allUniqueName="[Work].[Order Date].[All]" dimensionUniqueName="[Work]" displayFolder="" count="0" memberValueDatatype="7" unbalanced="0"/>
    <cacheHierarchy uniqueName="[Work].[Delivered Date]" caption="Delivered Date" attribute="1" time="1" defaultMemberUniqueName="[Work].[Delivered Date].[All]" allUniqueName="[Work].[Delivered Date].[All]" dimensionUniqueName="[Work]" displayFolder="" count="0" memberValueDatatype="7" unbalanced="0"/>
    <cacheHierarchy uniqueName="[Work].[month]" caption="month" attribute="1" defaultMemberUniqueName="[Work].[month].[All]" allUniqueName="[Work].[month].[All]" dimensionUniqueName="[Work]" displayFolder="" count="2" memberValueDatatype="130" unbalanced="0"/>
    <cacheHierarchy uniqueName="[Work].[MONTH2]" caption="MONTH2" attribute="1" defaultMemberUniqueName="[Work].[MONTH2].[All]" allUniqueName="[Work].[MONTH2].[All]" dimensionUniqueName="[Work]" displayFolder="" count="0" memberValueDatatype="20" unbalanced="0"/>
    <cacheHierarchy uniqueName="[Work].[Day]" caption="Day" attribute="1" defaultMemberUniqueName="[Work].[Day].[All]" allUniqueName="[Work].[Day].[All]" dimensionUniqueName="[Work]" displayFolder="" count="0" memberValueDatatype="130" unbalanced="0"/>
    <cacheHierarchy uniqueName="[Work].[cost percentage]" caption="cost percentage" attribute="1" defaultMemberUniqueName="[Work].[cost percentage].[All]" allUniqueName="[Work].[cost percentage].[All]" dimensionUniqueName="[Work]" displayFolder="" count="0" memberValueDatatype="5" unbalanced="0"/>
    <cacheHierarchy uniqueName="[Work].[Unit Price]" caption="Unit Price" attribute="1" defaultMemberUniqueName="[Work].[Unit Price].[All]" allUniqueName="[Work].[Unit Price].[All]" dimensionUniqueName="[Work]" displayFolder="" count="0" memberValueDatatype="20" unbalanced="0"/>
    <cacheHierarchy uniqueName="[Work].[Revenue]" caption="Revenue" attribute="1" defaultMemberUniqueName="[Work].[Revenue].[All]" allUniqueName="[Work].[Revenue].[All]" dimensionUniqueName="[Work]" displayFolder="" count="0" memberValueDatatype="20" unbalanced="0"/>
    <cacheHierarchy uniqueName="[Work].[Cost]" caption="Cost" attribute="1" defaultMemberUniqueName="[Work].[Cost].[All]" allUniqueName="[Work].[Cost].[All]" dimensionUniqueName="[Work]" displayFolder="" count="0" memberValueDatatype="5" unbalanced="0"/>
    <cacheHierarchy uniqueName="[Work].[Profit]" caption="Profit" attribute="1" defaultMemberUniqueName="[Work].[Profit].[All]" allUniqueName="[Work].[Profit].[All]" dimensionUniqueName="[Work]" displayFolder="" count="0" memberValueDatatype="5" unbalanced="0"/>
    <cacheHierarchy uniqueName="[Work].[Quantity]" caption="Quantity" attribute="1" defaultMemberUniqueName="[Work].[Quantity].[All]" allUniqueName="[Work].[Quantity].[All]" dimensionUniqueName="[Work]" displayFolder="" count="0" memberValueDatatype="20" unbalanced="0"/>
    <cacheHierarchy uniqueName="[Work].[Delivery Time]" caption="Delivery Time" attribute="1" defaultMemberUniqueName="[Work].[Delivery Time].[All]" allUniqueName="[Work].[Delivery Time].[All]" dimensionUniqueName="[Work]" displayFolder="" count="0" memberValueDatatype="20" unbalanced="0"/>
    <cacheHierarchy uniqueName="[Work].[Status]" caption="Status" attribute="1" defaultMemberUniqueName="[Work].[Status].[All]" allUniqueName="[Work].[Status].[All]" dimensionUniqueName="[Work]" displayFolder="" count="0" memberValueDatatype="130" unbalanced="0"/>
    <cacheHierarchy uniqueName="[Work].[Country]" caption="Country" attribute="1" defaultMemberUniqueName="[Work].[Country].[All]" allUniqueName="[Work].[Country].[All]" dimensionUniqueName="[Work]" displayFolder="" count="2" memberValueDatatype="130" unbalanced="0"/>
    <cacheHierarchy uniqueName="[Work].[Payment Method]" caption="Payment Method" attribute="1" defaultMemberUniqueName="[Work].[Payment Method].[All]" allUniqueName="[Work].[Payment Method].[All]" dimensionUniqueName="[Work]" displayFolder="" count="2" memberValueDatatype="130" unbalanced="0"/>
    <cacheHierarchy uniqueName="[Measures].[__XL_Count Work]" caption="__XL_Count Work" measure="1" displayFolder="" measureGroup="Work" count="0" hidden="1"/>
    <cacheHierarchy uniqueName="[Measures].[__No measures defined]" caption="__No measures defined" measure="1" displayFolder="" count="0" hidden="1"/>
    <cacheHierarchy uniqueName="[Measures].[Sum of Revenue]" caption="Sum of Revenue" measure="1" displayFolder="" measureGroup="Work"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Work"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Work"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Work" count="0" hidden="1">
      <extLst>
        <ext xmlns:x15="http://schemas.microsoft.com/office/spreadsheetml/2010/11/main" uri="{B97F6D7D-B522-45F9-BDA1-12C45D357490}">
          <x15:cacheHierarchy aggregatedColumn="14"/>
        </ext>
      </extLst>
    </cacheHierarchy>
    <cacheHierarchy uniqueName="[Measures].[Sum of Delivery Time]" caption="Sum of Delivery Time" measure="1" displayFolder="" measureGroup="Work" count="0" hidden="1">
      <extLst>
        <ext xmlns:x15="http://schemas.microsoft.com/office/spreadsheetml/2010/11/main" uri="{B97F6D7D-B522-45F9-BDA1-12C45D357490}">
          <x15:cacheHierarchy aggregatedColumn="15"/>
        </ext>
      </extLst>
    </cacheHierarchy>
    <cacheHierarchy uniqueName="[Measures].[Average of Delivery Time]" caption="Average of Delivery Time" measure="1" displayFolder="" measureGroup="Work"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Order ID]" caption="Sum of Order ID" measure="1" displayFolder="" measureGroup="Work"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Work"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Work" uniqueName="[Work]" caption="Work"/>
  </dimensions>
  <measureGroups count="1">
    <measureGroup name="Work" caption="Work"/>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fiat Ololade Ajayi" refreshedDate="46262.521797800924" backgroundQuery="1" createdVersion="8" refreshedVersion="8" minRefreshableVersion="3" recordCount="0" supportSubquery="1" supportAdvancedDrill="1" xr:uid="{8D6CC5E0-2601-44A9-B405-6790BC103604}">
  <cacheSource type="external" connectionId="1"/>
  <cacheFields count="2">
    <cacheField name="[Measures].[Sum of Revenue]" caption="Sum of Revenue" numFmtId="0" hierarchy="21" level="32767"/>
    <cacheField name="[Work].[month].[month]" caption="month" numFmtId="0" hierarchy="6" level="1">
      <sharedItems containsSemiMixedTypes="0" containsNonDate="0" containsString="0"/>
    </cacheField>
  </cacheFields>
  <cacheHierarchies count="29">
    <cacheHierarchy uniqueName="[Work].[Order ID]" caption="Order ID" attribute="1" defaultMemberUniqueName="[Work].[Order ID].[All]" allUniqueName="[Work].[Order ID].[All]" dimensionUniqueName="[Work]" displayFolder="" count="0" memberValueDatatype="20" unbalanced="0"/>
    <cacheHierarchy uniqueName="[Work].[Customer Name]" caption="Customer Name" attribute="1" defaultMemberUniqueName="[Work].[Customer Name].[All]" allUniqueName="[Work].[Customer Name].[All]" dimensionUniqueName="[Work]" displayFolder="" count="0" memberValueDatatype="130" unbalanced="0"/>
    <cacheHierarchy uniqueName="[Work].[Product Category]" caption="Product Category" attribute="1" defaultMemberUniqueName="[Work].[Product Category].[All]" allUniqueName="[Work].[Product Category].[All]" dimensionUniqueName="[Work]" displayFolder="" count="0" memberValueDatatype="130" unbalanced="0"/>
    <cacheHierarchy uniqueName="[Work].[Product Name]" caption="Product Name" attribute="1" defaultMemberUniqueName="[Work].[Product Name].[All]" allUniqueName="[Work].[Product Name].[All]" dimensionUniqueName="[Work]" displayFolder="" count="0" memberValueDatatype="130" unbalanced="0"/>
    <cacheHierarchy uniqueName="[Work].[Order Date]" caption="Order Date" attribute="1" time="1" defaultMemberUniqueName="[Work].[Order Date].[All]" allUniqueName="[Work].[Order Date].[All]" dimensionUniqueName="[Work]" displayFolder="" count="0" memberValueDatatype="7" unbalanced="0"/>
    <cacheHierarchy uniqueName="[Work].[Delivered Date]" caption="Delivered Date" attribute="1" time="1" defaultMemberUniqueName="[Work].[Delivered Date].[All]" allUniqueName="[Work].[Delivered Date].[All]" dimensionUniqueName="[Work]" displayFolder="" count="0" memberValueDatatype="7" unbalanced="0"/>
    <cacheHierarchy uniqueName="[Work].[month]" caption="month" attribute="1" defaultMemberUniqueName="[Work].[month].[All]" allUniqueName="[Work].[month].[All]" dimensionUniqueName="[Work]" displayFolder="" count="2" memberValueDatatype="130" unbalanced="0">
      <fieldsUsage count="2">
        <fieldUsage x="-1"/>
        <fieldUsage x="1"/>
      </fieldsUsage>
    </cacheHierarchy>
    <cacheHierarchy uniqueName="[Work].[MONTH2]" caption="MONTH2" attribute="1" defaultMemberUniqueName="[Work].[MONTH2].[All]" allUniqueName="[Work].[MONTH2].[All]" dimensionUniqueName="[Work]" displayFolder="" count="0" memberValueDatatype="20" unbalanced="0"/>
    <cacheHierarchy uniqueName="[Work].[Day]" caption="Day" attribute="1" defaultMemberUniqueName="[Work].[Day].[All]" allUniqueName="[Work].[Day].[All]" dimensionUniqueName="[Work]" displayFolder="" count="0" memberValueDatatype="130" unbalanced="0"/>
    <cacheHierarchy uniqueName="[Work].[cost percentage]" caption="cost percentage" attribute="1" defaultMemberUniqueName="[Work].[cost percentage].[All]" allUniqueName="[Work].[cost percentage].[All]" dimensionUniqueName="[Work]" displayFolder="" count="0" memberValueDatatype="5" unbalanced="0"/>
    <cacheHierarchy uniqueName="[Work].[Unit Price]" caption="Unit Price" attribute="1" defaultMemberUniqueName="[Work].[Unit Price].[All]" allUniqueName="[Work].[Unit Price].[All]" dimensionUniqueName="[Work]" displayFolder="" count="0" memberValueDatatype="20" unbalanced="0"/>
    <cacheHierarchy uniqueName="[Work].[Revenue]" caption="Revenue" attribute="1" defaultMemberUniqueName="[Work].[Revenue].[All]" allUniqueName="[Work].[Revenue].[All]" dimensionUniqueName="[Work]" displayFolder="" count="0" memberValueDatatype="20" unbalanced="0"/>
    <cacheHierarchy uniqueName="[Work].[Cost]" caption="Cost" attribute="1" defaultMemberUniqueName="[Work].[Cost].[All]" allUniqueName="[Work].[Cost].[All]" dimensionUniqueName="[Work]" displayFolder="" count="0" memberValueDatatype="5" unbalanced="0"/>
    <cacheHierarchy uniqueName="[Work].[Profit]" caption="Profit" attribute="1" defaultMemberUniqueName="[Work].[Profit].[All]" allUniqueName="[Work].[Profit].[All]" dimensionUniqueName="[Work]" displayFolder="" count="0" memberValueDatatype="5" unbalanced="0"/>
    <cacheHierarchy uniqueName="[Work].[Quantity]" caption="Quantity" attribute="1" defaultMemberUniqueName="[Work].[Quantity].[All]" allUniqueName="[Work].[Quantity].[All]" dimensionUniqueName="[Work]" displayFolder="" count="0" memberValueDatatype="20" unbalanced="0"/>
    <cacheHierarchy uniqueName="[Work].[Delivery Time]" caption="Delivery Time" attribute="1" defaultMemberUniqueName="[Work].[Delivery Time].[All]" allUniqueName="[Work].[Delivery Time].[All]" dimensionUniqueName="[Work]" displayFolder="" count="0" memberValueDatatype="20" unbalanced="0"/>
    <cacheHierarchy uniqueName="[Work].[Status]" caption="Status" attribute="1" defaultMemberUniqueName="[Work].[Status].[All]" allUniqueName="[Work].[Status].[All]" dimensionUniqueName="[Work]" displayFolder="" count="0" memberValueDatatype="130" unbalanced="0"/>
    <cacheHierarchy uniqueName="[Work].[Country]" caption="Country" attribute="1" defaultMemberUniqueName="[Work].[Country].[All]" allUniqueName="[Work].[Country].[All]" dimensionUniqueName="[Work]" displayFolder="" count="2" memberValueDatatype="130" unbalanced="0"/>
    <cacheHierarchy uniqueName="[Work].[Payment Method]" caption="Payment Method" attribute="1" defaultMemberUniqueName="[Work].[Payment Method].[All]" allUniqueName="[Work].[Payment Method].[All]" dimensionUniqueName="[Work]" displayFolder="" count="2" memberValueDatatype="130" unbalanced="0"/>
    <cacheHierarchy uniqueName="[Measures].[__XL_Count Work]" caption="__XL_Count Work" measure="1" displayFolder="" measureGroup="Work" count="0" hidden="1"/>
    <cacheHierarchy uniqueName="[Measures].[__No measures defined]" caption="__No measures defined" measure="1" displayFolder="" count="0" hidden="1"/>
    <cacheHierarchy uniqueName="[Measures].[Sum of Revenue]" caption="Sum of Revenue" measure="1" displayFolder="" measureGroup="Work"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Cost]" caption="Sum of Cost" measure="1" displayFolder="" measureGroup="Work"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Work"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Work" count="0" hidden="1">
      <extLst>
        <ext xmlns:x15="http://schemas.microsoft.com/office/spreadsheetml/2010/11/main" uri="{B97F6D7D-B522-45F9-BDA1-12C45D357490}">
          <x15:cacheHierarchy aggregatedColumn="14"/>
        </ext>
      </extLst>
    </cacheHierarchy>
    <cacheHierarchy uniqueName="[Measures].[Sum of Delivery Time]" caption="Sum of Delivery Time" measure="1" displayFolder="" measureGroup="Work" count="0" hidden="1">
      <extLst>
        <ext xmlns:x15="http://schemas.microsoft.com/office/spreadsheetml/2010/11/main" uri="{B97F6D7D-B522-45F9-BDA1-12C45D357490}">
          <x15:cacheHierarchy aggregatedColumn="15"/>
        </ext>
      </extLst>
    </cacheHierarchy>
    <cacheHierarchy uniqueName="[Measures].[Average of Delivery Time]" caption="Average of Delivery Time" measure="1" displayFolder="" measureGroup="Work" count="0" hidden="1">
      <extLst>
        <ext xmlns:x15="http://schemas.microsoft.com/office/spreadsheetml/2010/11/main" uri="{B97F6D7D-B522-45F9-BDA1-12C45D357490}">
          <x15:cacheHierarchy aggregatedColumn="15"/>
        </ext>
      </extLst>
    </cacheHierarchy>
    <cacheHierarchy uniqueName="[Measures].[Sum of Order ID]" caption="Sum of Order ID" measure="1" displayFolder="" measureGroup="Work"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Work"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Work" uniqueName="[Work]" caption="Work"/>
  </dimensions>
  <measureGroups count="1">
    <measureGroup name="Work" caption="Work"/>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fiat Ololade Ajayi" refreshedDate="46262.521799189817" backgroundQuery="1" createdVersion="8" refreshedVersion="8" minRefreshableVersion="3" recordCount="0" supportSubquery="1" supportAdvancedDrill="1" xr:uid="{E5C2EDB1-0F64-48CA-AE63-137C928CA431}">
  <cacheSource type="external" connectionId="1"/>
  <cacheFields count="2">
    <cacheField name="[Measures].[Sum of Cost]" caption="Sum of Cost" numFmtId="0" hierarchy="22" level="32767"/>
    <cacheField name="[Work].[month].[month]" caption="month" numFmtId="0" hierarchy="6" level="1">
      <sharedItems containsSemiMixedTypes="0" containsNonDate="0" containsString="0"/>
    </cacheField>
  </cacheFields>
  <cacheHierarchies count="29">
    <cacheHierarchy uniqueName="[Work].[Order ID]" caption="Order ID" attribute="1" defaultMemberUniqueName="[Work].[Order ID].[All]" allUniqueName="[Work].[Order ID].[All]" dimensionUniqueName="[Work]" displayFolder="" count="0" memberValueDatatype="20" unbalanced="0"/>
    <cacheHierarchy uniqueName="[Work].[Customer Name]" caption="Customer Name" attribute="1" defaultMemberUniqueName="[Work].[Customer Name].[All]" allUniqueName="[Work].[Customer Name].[All]" dimensionUniqueName="[Work]" displayFolder="" count="0" memberValueDatatype="130" unbalanced="0"/>
    <cacheHierarchy uniqueName="[Work].[Product Category]" caption="Product Category" attribute="1" defaultMemberUniqueName="[Work].[Product Category].[All]" allUniqueName="[Work].[Product Category].[All]" dimensionUniqueName="[Work]" displayFolder="" count="0" memberValueDatatype="130" unbalanced="0"/>
    <cacheHierarchy uniqueName="[Work].[Product Name]" caption="Product Name" attribute="1" defaultMemberUniqueName="[Work].[Product Name].[All]" allUniqueName="[Work].[Product Name].[All]" dimensionUniqueName="[Work]" displayFolder="" count="0" memberValueDatatype="130" unbalanced="0"/>
    <cacheHierarchy uniqueName="[Work].[Order Date]" caption="Order Date" attribute="1" time="1" defaultMemberUniqueName="[Work].[Order Date].[All]" allUniqueName="[Work].[Order Date].[All]" dimensionUniqueName="[Work]" displayFolder="" count="0" memberValueDatatype="7" unbalanced="0"/>
    <cacheHierarchy uniqueName="[Work].[Delivered Date]" caption="Delivered Date" attribute="1" time="1" defaultMemberUniqueName="[Work].[Delivered Date].[All]" allUniqueName="[Work].[Delivered Date].[All]" dimensionUniqueName="[Work]" displayFolder="" count="0" memberValueDatatype="7" unbalanced="0"/>
    <cacheHierarchy uniqueName="[Work].[month]" caption="month" attribute="1" defaultMemberUniqueName="[Work].[month].[All]" allUniqueName="[Work].[month].[All]" dimensionUniqueName="[Work]" displayFolder="" count="2" memberValueDatatype="130" unbalanced="0">
      <fieldsUsage count="2">
        <fieldUsage x="-1"/>
        <fieldUsage x="1"/>
      </fieldsUsage>
    </cacheHierarchy>
    <cacheHierarchy uniqueName="[Work].[MONTH2]" caption="MONTH2" attribute="1" defaultMemberUniqueName="[Work].[MONTH2].[All]" allUniqueName="[Work].[MONTH2].[All]" dimensionUniqueName="[Work]" displayFolder="" count="0" memberValueDatatype="20" unbalanced="0"/>
    <cacheHierarchy uniqueName="[Work].[Day]" caption="Day" attribute="1" defaultMemberUniqueName="[Work].[Day].[All]" allUniqueName="[Work].[Day].[All]" dimensionUniqueName="[Work]" displayFolder="" count="0" memberValueDatatype="130" unbalanced="0"/>
    <cacheHierarchy uniqueName="[Work].[cost percentage]" caption="cost percentage" attribute="1" defaultMemberUniqueName="[Work].[cost percentage].[All]" allUniqueName="[Work].[cost percentage].[All]" dimensionUniqueName="[Work]" displayFolder="" count="0" memberValueDatatype="5" unbalanced="0"/>
    <cacheHierarchy uniqueName="[Work].[Unit Price]" caption="Unit Price" attribute="1" defaultMemberUniqueName="[Work].[Unit Price].[All]" allUniqueName="[Work].[Unit Price].[All]" dimensionUniqueName="[Work]" displayFolder="" count="0" memberValueDatatype="20" unbalanced="0"/>
    <cacheHierarchy uniqueName="[Work].[Revenue]" caption="Revenue" attribute="1" defaultMemberUniqueName="[Work].[Revenue].[All]" allUniqueName="[Work].[Revenue].[All]" dimensionUniqueName="[Work]" displayFolder="" count="0" memberValueDatatype="20" unbalanced="0"/>
    <cacheHierarchy uniqueName="[Work].[Cost]" caption="Cost" attribute="1" defaultMemberUniqueName="[Work].[Cost].[All]" allUniqueName="[Work].[Cost].[All]" dimensionUniqueName="[Work]" displayFolder="" count="0" memberValueDatatype="5" unbalanced="0"/>
    <cacheHierarchy uniqueName="[Work].[Profit]" caption="Profit" attribute="1" defaultMemberUniqueName="[Work].[Profit].[All]" allUniqueName="[Work].[Profit].[All]" dimensionUniqueName="[Work]" displayFolder="" count="0" memberValueDatatype="5" unbalanced="0"/>
    <cacheHierarchy uniqueName="[Work].[Quantity]" caption="Quantity" attribute="1" defaultMemberUniqueName="[Work].[Quantity].[All]" allUniqueName="[Work].[Quantity].[All]" dimensionUniqueName="[Work]" displayFolder="" count="0" memberValueDatatype="20" unbalanced="0"/>
    <cacheHierarchy uniqueName="[Work].[Delivery Time]" caption="Delivery Time" attribute="1" defaultMemberUniqueName="[Work].[Delivery Time].[All]" allUniqueName="[Work].[Delivery Time].[All]" dimensionUniqueName="[Work]" displayFolder="" count="0" memberValueDatatype="20" unbalanced="0"/>
    <cacheHierarchy uniqueName="[Work].[Status]" caption="Status" attribute="1" defaultMemberUniqueName="[Work].[Status].[All]" allUniqueName="[Work].[Status].[All]" dimensionUniqueName="[Work]" displayFolder="" count="0" memberValueDatatype="130" unbalanced="0"/>
    <cacheHierarchy uniqueName="[Work].[Country]" caption="Country" attribute="1" defaultMemberUniqueName="[Work].[Country].[All]" allUniqueName="[Work].[Country].[All]" dimensionUniqueName="[Work]" displayFolder="" count="2" memberValueDatatype="130" unbalanced="0"/>
    <cacheHierarchy uniqueName="[Work].[Payment Method]" caption="Payment Method" attribute="1" defaultMemberUniqueName="[Work].[Payment Method].[All]" allUniqueName="[Work].[Payment Method].[All]" dimensionUniqueName="[Work]" displayFolder="" count="2" memberValueDatatype="130" unbalanced="0"/>
    <cacheHierarchy uniqueName="[Measures].[__XL_Count Work]" caption="__XL_Count Work" measure="1" displayFolder="" measureGroup="Work" count="0" hidden="1"/>
    <cacheHierarchy uniqueName="[Measures].[__No measures defined]" caption="__No measures defined" measure="1" displayFolder="" count="0" hidden="1"/>
    <cacheHierarchy uniqueName="[Measures].[Sum of Revenue]" caption="Sum of Revenue" measure="1" displayFolder="" measureGroup="Work"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Work"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Work"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Work" count="0" hidden="1">
      <extLst>
        <ext xmlns:x15="http://schemas.microsoft.com/office/spreadsheetml/2010/11/main" uri="{B97F6D7D-B522-45F9-BDA1-12C45D357490}">
          <x15:cacheHierarchy aggregatedColumn="14"/>
        </ext>
      </extLst>
    </cacheHierarchy>
    <cacheHierarchy uniqueName="[Measures].[Sum of Delivery Time]" caption="Sum of Delivery Time" measure="1" displayFolder="" measureGroup="Work" count="0" hidden="1">
      <extLst>
        <ext xmlns:x15="http://schemas.microsoft.com/office/spreadsheetml/2010/11/main" uri="{B97F6D7D-B522-45F9-BDA1-12C45D357490}">
          <x15:cacheHierarchy aggregatedColumn="15"/>
        </ext>
      </extLst>
    </cacheHierarchy>
    <cacheHierarchy uniqueName="[Measures].[Average of Delivery Time]" caption="Average of Delivery Time" measure="1" displayFolder="" measureGroup="Work" count="0" hidden="1">
      <extLst>
        <ext xmlns:x15="http://schemas.microsoft.com/office/spreadsheetml/2010/11/main" uri="{B97F6D7D-B522-45F9-BDA1-12C45D357490}">
          <x15:cacheHierarchy aggregatedColumn="15"/>
        </ext>
      </extLst>
    </cacheHierarchy>
    <cacheHierarchy uniqueName="[Measures].[Sum of Order ID]" caption="Sum of Order ID" measure="1" displayFolder="" measureGroup="Work"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Work"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Work" uniqueName="[Work]" caption="Work"/>
  </dimensions>
  <measureGroups count="1">
    <measureGroup name="Work" caption="Work"/>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fiat Ololade Ajayi" refreshedDate="46262.521800462964" backgroundQuery="1" createdVersion="8" refreshedVersion="8" minRefreshableVersion="3" recordCount="0" supportSubquery="1" supportAdvancedDrill="1" xr:uid="{32EFCF9D-A717-4DCB-813D-74D2252BBDDD}">
  <cacheSource type="external" connectionId="1"/>
  <cacheFields count="2">
    <cacheField name="[Measures].[Sum of Profit]" caption="Sum of Profit" numFmtId="0" hierarchy="23" level="32767"/>
    <cacheField name="[Work].[month].[month]" caption="month" numFmtId="0" hierarchy="6" level="1">
      <sharedItems containsSemiMixedTypes="0" containsNonDate="0" containsString="0"/>
    </cacheField>
  </cacheFields>
  <cacheHierarchies count="29">
    <cacheHierarchy uniqueName="[Work].[Order ID]" caption="Order ID" attribute="1" defaultMemberUniqueName="[Work].[Order ID].[All]" allUniqueName="[Work].[Order ID].[All]" dimensionUniqueName="[Work]" displayFolder="" count="0" memberValueDatatype="20" unbalanced="0"/>
    <cacheHierarchy uniqueName="[Work].[Customer Name]" caption="Customer Name" attribute="1" defaultMemberUniqueName="[Work].[Customer Name].[All]" allUniqueName="[Work].[Customer Name].[All]" dimensionUniqueName="[Work]" displayFolder="" count="0" memberValueDatatype="130" unbalanced="0"/>
    <cacheHierarchy uniqueName="[Work].[Product Category]" caption="Product Category" attribute="1" defaultMemberUniqueName="[Work].[Product Category].[All]" allUniqueName="[Work].[Product Category].[All]" dimensionUniqueName="[Work]" displayFolder="" count="0" memberValueDatatype="130" unbalanced="0"/>
    <cacheHierarchy uniqueName="[Work].[Product Name]" caption="Product Name" attribute="1" defaultMemberUniqueName="[Work].[Product Name].[All]" allUniqueName="[Work].[Product Name].[All]" dimensionUniqueName="[Work]" displayFolder="" count="0" memberValueDatatype="130" unbalanced="0"/>
    <cacheHierarchy uniqueName="[Work].[Order Date]" caption="Order Date" attribute="1" time="1" defaultMemberUniqueName="[Work].[Order Date].[All]" allUniqueName="[Work].[Order Date].[All]" dimensionUniqueName="[Work]" displayFolder="" count="0" memberValueDatatype="7" unbalanced="0"/>
    <cacheHierarchy uniqueName="[Work].[Delivered Date]" caption="Delivered Date" attribute="1" time="1" defaultMemberUniqueName="[Work].[Delivered Date].[All]" allUniqueName="[Work].[Delivered Date].[All]" dimensionUniqueName="[Work]" displayFolder="" count="0" memberValueDatatype="7" unbalanced="0"/>
    <cacheHierarchy uniqueName="[Work].[month]" caption="month" attribute="1" defaultMemberUniqueName="[Work].[month].[All]" allUniqueName="[Work].[month].[All]" dimensionUniqueName="[Work]" displayFolder="" count="2" memberValueDatatype="130" unbalanced="0">
      <fieldsUsage count="2">
        <fieldUsage x="-1"/>
        <fieldUsage x="1"/>
      </fieldsUsage>
    </cacheHierarchy>
    <cacheHierarchy uniqueName="[Work].[MONTH2]" caption="MONTH2" attribute="1" defaultMemberUniqueName="[Work].[MONTH2].[All]" allUniqueName="[Work].[MONTH2].[All]" dimensionUniqueName="[Work]" displayFolder="" count="0" memberValueDatatype="20" unbalanced="0"/>
    <cacheHierarchy uniqueName="[Work].[Day]" caption="Day" attribute="1" defaultMemberUniqueName="[Work].[Day].[All]" allUniqueName="[Work].[Day].[All]" dimensionUniqueName="[Work]" displayFolder="" count="0" memberValueDatatype="130" unbalanced="0"/>
    <cacheHierarchy uniqueName="[Work].[cost percentage]" caption="cost percentage" attribute="1" defaultMemberUniqueName="[Work].[cost percentage].[All]" allUniqueName="[Work].[cost percentage].[All]" dimensionUniqueName="[Work]" displayFolder="" count="0" memberValueDatatype="5" unbalanced="0"/>
    <cacheHierarchy uniqueName="[Work].[Unit Price]" caption="Unit Price" attribute="1" defaultMemberUniqueName="[Work].[Unit Price].[All]" allUniqueName="[Work].[Unit Price].[All]" dimensionUniqueName="[Work]" displayFolder="" count="0" memberValueDatatype="20" unbalanced="0"/>
    <cacheHierarchy uniqueName="[Work].[Revenue]" caption="Revenue" attribute="1" defaultMemberUniqueName="[Work].[Revenue].[All]" allUniqueName="[Work].[Revenue].[All]" dimensionUniqueName="[Work]" displayFolder="" count="0" memberValueDatatype="20" unbalanced="0"/>
    <cacheHierarchy uniqueName="[Work].[Cost]" caption="Cost" attribute="1" defaultMemberUniqueName="[Work].[Cost].[All]" allUniqueName="[Work].[Cost].[All]" dimensionUniqueName="[Work]" displayFolder="" count="0" memberValueDatatype="5" unbalanced="0"/>
    <cacheHierarchy uniqueName="[Work].[Profit]" caption="Profit" attribute="1" defaultMemberUniqueName="[Work].[Profit].[All]" allUniqueName="[Work].[Profit].[All]" dimensionUniqueName="[Work]" displayFolder="" count="0" memberValueDatatype="5" unbalanced="0"/>
    <cacheHierarchy uniqueName="[Work].[Quantity]" caption="Quantity" attribute="1" defaultMemberUniqueName="[Work].[Quantity].[All]" allUniqueName="[Work].[Quantity].[All]" dimensionUniqueName="[Work]" displayFolder="" count="0" memberValueDatatype="20" unbalanced="0"/>
    <cacheHierarchy uniqueName="[Work].[Delivery Time]" caption="Delivery Time" attribute="1" defaultMemberUniqueName="[Work].[Delivery Time].[All]" allUniqueName="[Work].[Delivery Time].[All]" dimensionUniqueName="[Work]" displayFolder="" count="0" memberValueDatatype="20" unbalanced="0"/>
    <cacheHierarchy uniqueName="[Work].[Status]" caption="Status" attribute="1" defaultMemberUniqueName="[Work].[Status].[All]" allUniqueName="[Work].[Status].[All]" dimensionUniqueName="[Work]" displayFolder="" count="0" memberValueDatatype="130" unbalanced="0"/>
    <cacheHierarchy uniqueName="[Work].[Country]" caption="Country" attribute="1" defaultMemberUniqueName="[Work].[Country].[All]" allUniqueName="[Work].[Country].[All]" dimensionUniqueName="[Work]" displayFolder="" count="2" memberValueDatatype="130" unbalanced="0"/>
    <cacheHierarchy uniqueName="[Work].[Payment Method]" caption="Payment Method" attribute="1" defaultMemberUniqueName="[Work].[Payment Method].[All]" allUniqueName="[Work].[Payment Method].[All]" dimensionUniqueName="[Work]" displayFolder="" count="2" memberValueDatatype="130" unbalanced="0"/>
    <cacheHierarchy uniqueName="[Measures].[__XL_Count Work]" caption="__XL_Count Work" measure="1" displayFolder="" measureGroup="Work" count="0" hidden="1"/>
    <cacheHierarchy uniqueName="[Measures].[__No measures defined]" caption="__No measures defined" measure="1" displayFolder="" count="0" hidden="1"/>
    <cacheHierarchy uniqueName="[Measures].[Sum of Revenue]" caption="Sum of Revenue" measure="1" displayFolder="" measureGroup="Work"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Work"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Work"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Quantity]" caption="Sum of Quantity" measure="1" displayFolder="" measureGroup="Work" count="0" hidden="1">
      <extLst>
        <ext xmlns:x15="http://schemas.microsoft.com/office/spreadsheetml/2010/11/main" uri="{B97F6D7D-B522-45F9-BDA1-12C45D357490}">
          <x15:cacheHierarchy aggregatedColumn="14"/>
        </ext>
      </extLst>
    </cacheHierarchy>
    <cacheHierarchy uniqueName="[Measures].[Sum of Delivery Time]" caption="Sum of Delivery Time" measure="1" displayFolder="" measureGroup="Work" count="0" hidden="1">
      <extLst>
        <ext xmlns:x15="http://schemas.microsoft.com/office/spreadsheetml/2010/11/main" uri="{B97F6D7D-B522-45F9-BDA1-12C45D357490}">
          <x15:cacheHierarchy aggregatedColumn="15"/>
        </ext>
      </extLst>
    </cacheHierarchy>
    <cacheHierarchy uniqueName="[Measures].[Average of Delivery Time]" caption="Average of Delivery Time" measure="1" displayFolder="" measureGroup="Work" count="0" hidden="1">
      <extLst>
        <ext xmlns:x15="http://schemas.microsoft.com/office/spreadsheetml/2010/11/main" uri="{B97F6D7D-B522-45F9-BDA1-12C45D357490}">
          <x15:cacheHierarchy aggregatedColumn="15"/>
        </ext>
      </extLst>
    </cacheHierarchy>
    <cacheHierarchy uniqueName="[Measures].[Sum of Order ID]" caption="Sum of Order ID" measure="1" displayFolder="" measureGroup="Work"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Work"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Work" uniqueName="[Work]" caption="Work"/>
  </dimensions>
  <measureGroups count="1">
    <measureGroup name="Work" caption="Work"/>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fiat Ololade Ajayi" refreshedDate="46262.521801736111" backgroundQuery="1" createdVersion="8" refreshedVersion="8" minRefreshableVersion="3" recordCount="0" supportSubquery="1" supportAdvancedDrill="1" xr:uid="{6E6C7A4D-6E89-4E0B-84EC-A6DBAD41B0C5}">
  <cacheSource type="external" connectionId="1"/>
  <cacheFields count="2">
    <cacheField name="[Measures].[Sum of Quantity]" caption="Sum of Quantity" numFmtId="0" hierarchy="24" level="32767"/>
    <cacheField name="[Work].[month].[month]" caption="month" numFmtId="0" hierarchy="6" level="1">
      <sharedItems containsSemiMixedTypes="0" containsNonDate="0" containsString="0"/>
    </cacheField>
  </cacheFields>
  <cacheHierarchies count="29">
    <cacheHierarchy uniqueName="[Work].[Order ID]" caption="Order ID" attribute="1" defaultMemberUniqueName="[Work].[Order ID].[All]" allUniqueName="[Work].[Order ID].[All]" dimensionUniqueName="[Work]" displayFolder="" count="0" memberValueDatatype="20" unbalanced="0"/>
    <cacheHierarchy uniqueName="[Work].[Customer Name]" caption="Customer Name" attribute="1" defaultMemberUniqueName="[Work].[Customer Name].[All]" allUniqueName="[Work].[Customer Name].[All]" dimensionUniqueName="[Work]" displayFolder="" count="0" memberValueDatatype="130" unbalanced="0"/>
    <cacheHierarchy uniqueName="[Work].[Product Category]" caption="Product Category" attribute="1" defaultMemberUniqueName="[Work].[Product Category].[All]" allUniqueName="[Work].[Product Category].[All]" dimensionUniqueName="[Work]" displayFolder="" count="0" memberValueDatatype="130" unbalanced="0"/>
    <cacheHierarchy uniqueName="[Work].[Product Name]" caption="Product Name" attribute="1" defaultMemberUniqueName="[Work].[Product Name].[All]" allUniqueName="[Work].[Product Name].[All]" dimensionUniqueName="[Work]" displayFolder="" count="0" memberValueDatatype="130" unbalanced="0"/>
    <cacheHierarchy uniqueName="[Work].[Order Date]" caption="Order Date" attribute="1" time="1" defaultMemberUniqueName="[Work].[Order Date].[All]" allUniqueName="[Work].[Order Date].[All]" dimensionUniqueName="[Work]" displayFolder="" count="0" memberValueDatatype="7" unbalanced="0"/>
    <cacheHierarchy uniqueName="[Work].[Delivered Date]" caption="Delivered Date" attribute="1" time="1" defaultMemberUniqueName="[Work].[Delivered Date].[All]" allUniqueName="[Work].[Delivered Date].[All]" dimensionUniqueName="[Work]" displayFolder="" count="0" memberValueDatatype="7" unbalanced="0"/>
    <cacheHierarchy uniqueName="[Work].[month]" caption="month" attribute="1" defaultMemberUniqueName="[Work].[month].[All]" allUniqueName="[Work].[month].[All]" dimensionUniqueName="[Work]" displayFolder="" count="2" memberValueDatatype="130" unbalanced="0">
      <fieldsUsage count="2">
        <fieldUsage x="-1"/>
        <fieldUsage x="1"/>
      </fieldsUsage>
    </cacheHierarchy>
    <cacheHierarchy uniqueName="[Work].[MONTH2]" caption="MONTH2" attribute="1" defaultMemberUniqueName="[Work].[MONTH2].[All]" allUniqueName="[Work].[MONTH2].[All]" dimensionUniqueName="[Work]" displayFolder="" count="0" memberValueDatatype="20" unbalanced="0"/>
    <cacheHierarchy uniqueName="[Work].[Day]" caption="Day" attribute="1" defaultMemberUniqueName="[Work].[Day].[All]" allUniqueName="[Work].[Day].[All]" dimensionUniqueName="[Work]" displayFolder="" count="0" memberValueDatatype="130" unbalanced="0"/>
    <cacheHierarchy uniqueName="[Work].[cost percentage]" caption="cost percentage" attribute="1" defaultMemberUniqueName="[Work].[cost percentage].[All]" allUniqueName="[Work].[cost percentage].[All]" dimensionUniqueName="[Work]" displayFolder="" count="0" memberValueDatatype="5" unbalanced="0"/>
    <cacheHierarchy uniqueName="[Work].[Unit Price]" caption="Unit Price" attribute="1" defaultMemberUniqueName="[Work].[Unit Price].[All]" allUniqueName="[Work].[Unit Price].[All]" dimensionUniqueName="[Work]" displayFolder="" count="0" memberValueDatatype="20" unbalanced="0"/>
    <cacheHierarchy uniqueName="[Work].[Revenue]" caption="Revenue" attribute="1" defaultMemberUniqueName="[Work].[Revenue].[All]" allUniqueName="[Work].[Revenue].[All]" dimensionUniqueName="[Work]" displayFolder="" count="0" memberValueDatatype="20" unbalanced="0"/>
    <cacheHierarchy uniqueName="[Work].[Cost]" caption="Cost" attribute="1" defaultMemberUniqueName="[Work].[Cost].[All]" allUniqueName="[Work].[Cost].[All]" dimensionUniqueName="[Work]" displayFolder="" count="0" memberValueDatatype="5" unbalanced="0"/>
    <cacheHierarchy uniqueName="[Work].[Profit]" caption="Profit" attribute="1" defaultMemberUniqueName="[Work].[Profit].[All]" allUniqueName="[Work].[Profit].[All]" dimensionUniqueName="[Work]" displayFolder="" count="0" memberValueDatatype="5" unbalanced="0"/>
    <cacheHierarchy uniqueName="[Work].[Quantity]" caption="Quantity" attribute="1" defaultMemberUniqueName="[Work].[Quantity].[All]" allUniqueName="[Work].[Quantity].[All]" dimensionUniqueName="[Work]" displayFolder="" count="0" memberValueDatatype="20" unbalanced="0"/>
    <cacheHierarchy uniqueName="[Work].[Delivery Time]" caption="Delivery Time" attribute="1" defaultMemberUniqueName="[Work].[Delivery Time].[All]" allUniqueName="[Work].[Delivery Time].[All]" dimensionUniqueName="[Work]" displayFolder="" count="0" memberValueDatatype="20" unbalanced="0"/>
    <cacheHierarchy uniqueName="[Work].[Status]" caption="Status" attribute="1" defaultMemberUniqueName="[Work].[Status].[All]" allUniqueName="[Work].[Status].[All]" dimensionUniqueName="[Work]" displayFolder="" count="0" memberValueDatatype="130" unbalanced="0"/>
    <cacheHierarchy uniqueName="[Work].[Country]" caption="Country" attribute="1" defaultMemberUniqueName="[Work].[Country].[All]" allUniqueName="[Work].[Country].[All]" dimensionUniqueName="[Work]" displayFolder="" count="2" memberValueDatatype="130" unbalanced="0"/>
    <cacheHierarchy uniqueName="[Work].[Payment Method]" caption="Payment Method" attribute="1" defaultMemberUniqueName="[Work].[Payment Method].[All]" allUniqueName="[Work].[Payment Method].[All]" dimensionUniqueName="[Work]" displayFolder="" count="2" memberValueDatatype="130" unbalanced="0"/>
    <cacheHierarchy uniqueName="[Measures].[__XL_Count Work]" caption="__XL_Count Work" measure="1" displayFolder="" measureGroup="Work" count="0" hidden="1"/>
    <cacheHierarchy uniqueName="[Measures].[__No measures defined]" caption="__No measures defined" measure="1" displayFolder="" count="0" hidden="1"/>
    <cacheHierarchy uniqueName="[Measures].[Sum of Revenue]" caption="Sum of Revenue" measure="1" displayFolder="" measureGroup="Work"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Work"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Work"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Work"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Delivery Time]" caption="Sum of Delivery Time" measure="1" displayFolder="" measureGroup="Work" count="0" hidden="1">
      <extLst>
        <ext xmlns:x15="http://schemas.microsoft.com/office/spreadsheetml/2010/11/main" uri="{B97F6D7D-B522-45F9-BDA1-12C45D357490}">
          <x15:cacheHierarchy aggregatedColumn="15"/>
        </ext>
      </extLst>
    </cacheHierarchy>
    <cacheHierarchy uniqueName="[Measures].[Average of Delivery Time]" caption="Average of Delivery Time" measure="1" displayFolder="" measureGroup="Work" count="0" hidden="1">
      <extLst>
        <ext xmlns:x15="http://schemas.microsoft.com/office/spreadsheetml/2010/11/main" uri="{B97F6D7D-B522-45F9-BDA1-12C45D357490}">
          <x15:cacheHierarchy aggregatedColumn="15"/>
        </ext>
      </extLst>
    </cacheHierarchy>
    <cacheHierarchy uniqueName="[Measures].[Sum of Order ID]" caption="Sum of Order ID" measure="1" displayFolder="" measureGroup="Work"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Work"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Work" uniqueName="[Work]" caption="Work"/>
  </dimensions>
  <measureGroups count="1">
    <measureGroup name="Work" caption="Work"/>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fiat Ololade Ajayi" refreshedDate="46262.505793055556" backgroundQuery="1" createdVersion="3" refreshedVersion="8" minRefreshableVersion="3" recordCount="0" supportSubquery="1" supportAdvancedDrill="1" xr:uid="{BA9F1707-E968-4751-9EA1-EC74404CE160}">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Work].[Order ID]" caption="Order ID" attribute="1" defaultMemberUniqueName="[Work].[Order ID].[All]" allUniqueName="[Work].[Order ID].[All]" dimensionUniqueName="[Work]" displayFolder="" count="0" memberValueDatatype="20" unbalanced="0"/>
    <cacheHierarchy uniqueName="[Work].[Customer Name]" caption="Customer Name" attribute="1" defaultMemberUniqueName="[Work].[Customer Name].[All]" allUniqueName="[Work].[Customer Name].[All]" dimensionUniqueName="[Work]" displayFolder="" count="0" memberValueDatatype="130" unbalanced="0"/>
    <cacheHierarchy uniqueName="[Work].[Product Category]" caption="Product Category" attribute="1" defaultMemberUniqueName="[Work].[Product Category].[All]" allUniqueName="[Work].[Product Category].[All]" dimensionUniqueName="[Work]" displayFolder="" count="0" memberValueDatatype="130" unbalanced="0"/>
    <cacheHierarchy uniqueName="[Work].[Product Name]" caption="Product Name" attribute="1" defaultMemberUniqueName="[Work].[Product Name].[All]" allUniqueName="[Work].[Product Name].[All]" dimensionUniqueName="[Work]" displayFolder="" count="0" memberValueDatatype="130" unbalanced="0"/>
    <cacheHierarchy uniqueName="[Work].[Order Date]" caption="Order Date" attribute="1" time="1" defaultMemberUniqueName="[Work].[Order Date].[All]" allUniqueName="[Work].[Order Date].[All]" dimensionUniqueName="[Work]" displayFolder="" count="0" memberValueDatatype="7" unbalanced="0"/>
    <cacheHierarchy uniqueName="[Work].[Delivered Date]" caption="Delivered Date" attribute="1" time="1" defaultMemberUniqueName="[Work].[Delivered Date].[All]" allUniqueName="[Work].[Delivered Date].[All]" dimensionUniqueName="[Work]" displayFolder="" count="0" memberValueDatatype="7" unbalanced="0"/>
    <cacheHierarchy uniqueName="[Work].[month]" caption="month" attribute="1" defaultMemberUniqueName="[Work].[month].[All]" allUniqueName="[Work].[month].[All]" dimensionUniqueName="[Work]" displayFolder="" count="2" memberValueDatatype="130" unbalanced="0"/>
    <cacheHierarchy uniqueName="[Work].[MONTH2]" caption="MONTH2" attribute="1" defaultMemberUniqueName="[Work].[MONTH2].[All]" allUniqueName="[Work].[MONTH2].[All]" dimensionUniqueName="[Work]" displayFolder="" count="0" memberValueDatatype="20" unbalanced="0"/>
    <cacheHierarchy uniqueName="[Work].[Day]" caption="Day" attribute="1" defaultMemberUniqueName="[Work].[Day].[All]" allUniqueName="[Work].[Day].[All]" dimensionUniqueName="[Work]" displayFolder="" count="0" memberValueDatatype="130" unbalanced="0"/>
    <cacheHierarchy uniqueName="[Work].[cost percentage]" caption="cost percentage" attribute="1" defaultMemberUniqueName="[Work].[cost percentage].[All]" allUniqueName="[Work].[cost percentage].[All]" dimensionUniqueName="[Work]" displayFolder="" count="0" memberValueDatatype="5" unbalanced="0"/>
    <cacheHierarchy uniqueName="[Work].[Unit Price]" caption="Unit Price" attribute="1" defaultMemberUniqueName="[Work].[Unit Price].[All]" allUniqueName="[Work].[Unit Price].[All]" dimensionUniqueName="[Work]" displayFolder="" count="0" memberValueDatatype="20" unbalanced="0"/>
    <cacheHierarchy uniqueName="[Work].[Revenue]" caption="Revenue" attribute="1" defaultMemberUniqueName="[Work].[Revenue].[All]" allUniqueName="[Work].[Revenue].[All]" dimensionUniqueName="[Work]" displayFolder="" count="0" memberValueDatatype="20" unbalanced="0"/>
    <cacheHierarchy uniqueName="[Work].[Cost]" caption="Cost" attribute="1" defaultMemberUniqueName="[Work].[Cost].[All]" allUniqueName="[Work].[Cost].[All]" dimensionUniqueName="[Work]" displayFolder="" count="0" memberValueDatatype="5" unbalanced="0"/>
    <cacheHierarchy uniqueName="[Work].[Profit]" caption="Profit" attribute="1" defaultMemberUniqueName="[Work].[Profit].[All]" allUniqueName="[Work].[Profit].[All]" dimensionUniqueName="[Work]" displayFolder="" count="0" memberValueDatatype="5" unbalanced="0"/>
    <cacheHierarchy uniqueName="[Work].[Quantity]" caption="Quantity" attribute="1" defaultMemberUniqueName="[Work].[Quantity].[All]" allUniqueName="[Work].[Quantity].[All]" dimensionUniqueName="[Work]" displayFolder="" count="0" memberValueDatatype="20" unbalanced="0"/>
    <cacheHierarchy uniqueName="[Work].[Delivery Time]" caption="Delivery Time" attribute="1" defaultMemberUniqueName="[Work].[Delivery Time].[All]" allUniqueName="[Work].[Delivery Time].[All]" dimensionUniqueName="[Work]" displayFolder="" count="0" memberValueDatatype="20" unbalanced="0"/>
    <cacheHierarchy uniqueName="[Work].[Status]" caption="Status" attribute="1" defaultMemberUniqueName="[Work].[Status].[All]" allUniqueName="[Work].[Status].[All]" dimensionUniqueName="[Work]" displayFolder="" count="0" memberValueDatatype="130" unbalanced="0"/>
    <cacheHierarchy uniqueName="[Work].[Country]" caption="Country" attribute="1" defaultMemberUniqueName="[Work].[Country].[All]" allUniqueName="[Work].[Country].[All]" dimensionUniqueName="[Work]" displayFolder="" count="2" memberValueDatatype="130" unbalanced="0"/>
    <cacheHierarchy uniqueName="[Work].[Payment Method]" caption="Payment Method" attribute="1" defaultMemberUniqueName="[Work].[Payment Method].[All]" allUniqueName="[Work].[Payment Method].[All]" dimensionUniqueName="[Work]" displayFolder="" count="2" memberValueDatatype="130" unbalanced="0"/>
    <cacheHierarchy uniqueName="[Measures].[__XL_Count Work]" caption="__XL_Count Work" measure="1" displayFolder="" measureGroup="Work" count="0" hidden="1"/>
    <cacheHierarchy uniqueName="[Measures].[__No measures defined]" caption="__No measures defined" measure="1" displayFolder="" count="0" hidden="1"/>
    <cacheHierarchy uniqueName="[Measures].[Sum of Revenue]" caption="Sum of Revenue" measure="1" displayFolder="" measureGroup="Work"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Work"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Work"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Work" count="0" hidden="1">
      <extLst>
        <ext xmlns:x15="http://schemas.microsoft.com/office/spreadsheetml/2010/11/main" uri="{B97F6D7D-B522-45F9-BDA1-12C45D357490}">
          <x15:cacheHierarchy aggregatedColumn="14"/>
        </ext>
      </extLst>
    </cacheHierarchy>
    <cacheHierarchy uniqueName="[Measures].[Sum of Delivery Time]" caption="Sum of Delivery Time" measure="1" displayFolder="" measureGroup="Work" count="0" hidden="1">
      <extLst>
        <ext xmlns:x15="http://schemas.microsoft.com/office/spreadsheetml/2010/11/main" uri="{B97F6D7D-B522-45F9-BDA1-12C45D357490}">
          <x15:cacheHierarchy aggregatedColumn="15"/>
        </ext>
      </extLst>
    </cacheHierarchy>
    <cacheHierarchy uniqueName="[Measures].[Average of Delivery Time]" caption="Average of Delivery Time" measure="1" displayFolder="" measureGroup="Work" count="0" hidden="1">
      <extLst>
        <ext xmlns:x15="http://schemas.microsoft.com/office/spreadsheetml/2010/11/main" uri="{B97F6D7D-B522-45F9-BDA1-12C45D357490}">
          <x15:cacheHierarchy aggregatedColumn="15"/>
        </ext>
      </extLst>
    </cacheHierarchy>
    <cacheHierarchy uniqueName="[Measures].[Sum of Order ID]" caption="Sum of Order ID" measure="1" displayFolder="" measureGroup="Work"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Work"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6064997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021BAF-5C1F-4E1B-8471-EE8FFB2B0E9C}" name="PivotTable3"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6"/>
  </dataFields>
  <formats count="1">
    <format dxfId="1">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xlsx!Work">
        <x15:activeTabTopLevelEntity name="[Wor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A7E645-2B96-4E19-923E-E7E80F59C05D}" name="PivotTable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name="Average  Delivery Time" fld="0" subtotal="average" baseField="0" baseItem="0" numFmtId="169"/>
  </dataFields>
  <formats count="1">
    <format dxfId="2">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Delivery Tim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xlsx!Work">
        <x15:activeTabTopLevelEntity name="[Wor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356DAB-2ACA-40CB-910E-04D58B7BCF54}" name="PivotTable9"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5:B1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Order ID" fld="1" subtotal="count" showDataAs="percentOfTotal" baseField="0" baseItem="0" numFmtId="10"/>
  </dataFields>
  <formats count="2">
    <format dxfId="4">
      <pivotArea collapsedLevelsAreSubtotals="1" fieldPosition="0">
        <references count="1">
          <reference field="0" count="1">
            <x v="1"/>
          </reference>
        </references>
      </pivotArea>
    </format>
    <format dxfId="3">
      <pivotArea collapsedLevelsAreSubtotals="1" fieldPosition="0">
        <references count="1">
          <reference field="0" count="1">
            <x v="0"/>
          </reference>
        </references>
      </pivotArea>
    </format>
  </formats>
  <chartFormats count="1">
    <chartFormat chart="4" format="6"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 ID"/>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xlsx!Work">
        <x15:activeTabTopLevelEntity name="[Wor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4A9125-1AD4-468A-9AF1-0F5F846D8F5E}" name="PivotTable7"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23:B34" firstHeaderRow="1" firstDataRow="1" firstDataCol="1"/>
  <pivotFields count="5">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2">
    <field x="1"/>
    <field x="2"/>
  </rowFields>
  <rowItems count="11">
    <i>
      <x v="1"/>
    </i>
    <i r="1">
      <x v="1"/>
    </i>
    <i>
      <x v="4"/>
    </i>
    <i r="1">
      <x/>
    </i>
    <i>
      <x v="3"/>
    </i>
    <i r="1">
      <x/>
    </i>
    <i>
      <x v="2"/>
    </i>
    <i r="1">
      <x/>
    </i>
    <i>
      <x/>
    </i>
    <i r="1">
      <x/>
    </i>
    <i t="grand">
      <x/>
    </i>
  </rowItems>
  <colItems count="1">
    <i/>
  </colItems>
  <dataFields count="1">
    <dataField name="Sum of Profit" fld="0" baseField="0" baseItem="0"/>
  </dataFields>
  <formats count="10">
    <format dxfId="14">
      <pivotArea collapsedLevelsAreSubtotals="1" fieldPosition="0">
        <references count="1">
          <reference field="1" count="1">
            <x v="1"/>
          </reference>
        </references>
      </pivotArea>
    </format>
    <format dxfId="13">
      <pivotArea collapsedLevelsAreSubtotals="1" fieldPosition="0">
        <references count="2">
          <reference field="1" count="1" selected="0">
            <x v="1"/>
          </reference>
          <reference field="2" count="1">
            <x v="1"/>
          </reference>
        </references>
      </pivotArea>
    </format>
    <format dxfId="12">
      <pivotArea collapsedLevelsAreSubtotals="1" fieldPosition="0">
        <references count="1">
          <reference field="1" count="1">
            <x v="4"/>
          </reference>
        </references>
      </pivotArea>
    </format>
    <format dxfId="11">
      <pivotArea collapsedLevelsAreSubtotals="1" fieldPosition="0">
        <references count="2">
          <reference field="1" count="1" selected="0">
            <x v="4"/>
          </reference>
          <reference field="2" count="1">
            <x v="0"/>
          </reference>
        </references>
      </pivotArea>
    </format>
    <format dxfId="10">
      <pivotArea collapsedLevelsAreSubtotals="1" fieldPosition="0">
        <references count="1">
          <reference field="1" count="1">
            <x v="3"/>
          </reference>
        </references>
      </pivotArea>
    </format>
    <format dxfId="9">
      <pivotArea collapsedLevelsAreSubtotals="1" fieldPosition="0">
        <references count="2">
          <reference field="1" count="1" selected="0">
            <x v="3"/>
          </reference>
          <reference field="2" count="1">
            <x v="0"/>
          </reference>
        </references>
      </pivotArea>
    </format>
    <format dxfId="8">
      <pivotArea collapsedLevelsAreSubtotals="1" fieldPosition="0">
        <references count="1">
          <reference field="1" count="1">
            <x v="2"/>
          </reference>
        </references>
      </pivotArea>
    </format>
    <format dxfId="7">
      <pivotArea collapsedLevelsAreSubtotals="1" fieldPosition="0">
        <references count="2">
          <reference field="1" count="1" selected="0">
            <x v="2"/>
          </reference>
          <reference field="2" count="1">
            <x v="0"/>
          </reference>
        </references>
      </pivotArea>
    </format>
    <format dxfId="6">
      <pivotArea collapsedLevelsAreSubtotals="1" fieldPosition="0">
        <references count="1">
          <reference field="1" count="1">
            <x v="0"/>
          </reference>
        </references>
      </pivotArea>
    </format>
    <format dxfId="5">
      <pivotArea collapsedLevelsAreSubtotals="1" fieldPosition="0">
        <references count="2">
          <reference field="1" count="1" selected="0">
            <x v="0"/>
          </reference>
          <reference field="2" count="1">
            <x v="0"/>
          </reference>
        </references>
      </pivotArea>
    </format>
  </formats>
  <chartFormats count="1">
    <chartFormat chart="7" format="4"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 ID"/>
  </pivotHierarchies>
  <pivotTableStyleInfo name="PivotStyleLight16" showRowHeaders="1" showColHeaders="1" showRowStripes="0" showColStripes="0" showLastColumn="1"/>
  <filters count="1">
    <filter fld="1" type="count" id="2" iMeasureHier="23">
      <autoFilter ref="A1">
        <filterColumn colId="0">
          <top10 val="5" filterVal="5"/>
        </filterColumn>
      </autoFilter>
    </filter>
  </filters>
  <rowHierarchiesUsage count="2">
    <rowHierarchyUsage hierarchyUsage="3"/>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xlsx!Work">
        <x15:activeTabTopLevelEntity name="[Wor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085937-5A02-44BF-B72A-78D81F8AD984}" name="PivotTable4"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numFmtId="166"/>
  </dataFields>
  <formats count="1">
    <format dxfId="15">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xlsx!Work">
        <x15:activeTabTopLevelEntity name="[Wor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3FD3D5-8BF3-4DAA-B89F-951C516618C2}" name="PivotTable2"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st" fld="0" baseField="0" baseItem="0" numFmtId="166"/>
  </dataFields>
  <formats count="1">
    <format dxfId="16">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xlsx!Work">
        <x15:activeTabTopLevelEntity name="[Wor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AF5129-D9F4-4E4C-95C1-5BB246D6CCB9}" name="PivotTable6" cacheId="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9">
  <location ref="A6:D11" firstHeaderRow="0" firstDataRow="1" firstDataCol="1"/>
  <pivotFields count="6">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5">
    <i>
      <x/>
    </i>
    <i>
      <x v="1"/>
    </i>
    <i>
      <x v="2"/>
    </i>
    <i>
      <x v="3"/>
    </i>
    <i>
      <x v="4"/>
    </i>
  </rowItems>
  <colFields count="1">
    <field x="-2"/>
  </colFields>
  <colItems count="3">
    <i>
      <x/>
    </i>
    <i i="1">
      <x v="1"/>
    </i>
    <i i="2">
      <x v="2"/>
    </i>
  </colItems>
  <dataFields count="3">
    <dataField name="Sum of Revenue" fld="0" baseField="0" baseItem="0"/>
    <dataField name="Sum of Cost" fld="1" baseField="0" baseItem="0"/>
    <dataField name="Sum of Profit" fld="2" baseField="0" baseItem="0"/>
  </dataFields>
  <formats count="1">
    <format dxfId="17">
      <pivotArea collapsedLevelsAreSubtotals="1" fieldPosition="0">
        <references count="1">
          <reference field="3" count="0"/>
        </references>
      </pivotArea>
    </format>
  </formats>
  <chartFormats count="3">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 chart="8" format="14" series="1">
      <pivotArea type="data" outline="0" fieldPosition="0">
        <references count="1">
          <reference field="4294967294" count="1" selected="0">
            <x v="2"/>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xlsx!Work">
        <x15:activeTabTopLevelEntity name="[Wor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2864ED-54C8-475C-8D3E-E4A5F6CBEE1C}" name="PivotTable8"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F6:I19" firstHeaderRow="0" firstDataRow="1" firstDataCol="1"/>
  <pivotFields count="6">
    <pivotField dataField="1" subtotalTop="0" showAll="0" defaultSubtotal="0"/>
    <pivotField dataField="1" subtotalTop="0" showAll="0" defaultSubtotal="0"/>
    <pivotField dataField="1" subtotalTop="0" showAll="0" defaultSubtotal="0"/>
    <pivotField axis="axisRow" allDrilled="1" subtotalTop="0" showAll="0" nonAutoSortDefault="1" defaultSubtotal="0" defaultAttributeDrillState="1">
      <items count="12">
        <item x="4"/>
        <item x="3"/>
        <item x="7"/>
        <item x="0"/>
        <item x="8"/>
        <item x="6"/>
        <item x="5"/>
        <item x="1"/>
        <item x="10"/>
        <item x="9"/>
        <item x="2"/>
        <item x="11"/>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Revenue" fld="0" baseField="0" baseItem="0" numFmtId="165"/>
    <dataField name="Sum of Profit" fld="1" baseField="0" baseItem="0" numFmtId="165"/>
    <dataField name="Sum of Cost" fld="2" baseField="0" baseItem="0" numFmtId="165"/>
  </dataFields>
  <formats count="3">
    <format dxfId="20">
      <pivotArea outline="0" collapsedLevelsAreSubtotals="1" fieldPosition="0">
        <references count="1">
          <reference field="4294967294" count="1" selected="0">
            <x v="0"/>
          </reference>
        </references>
      </pivotArea>
    </format>
    <format dxfId="19">
      <pivotArea outline="0" collapsedLevelsAreSubtotals="1" fieldPosition="0">
        <references count="1">
          <reference field="4294967294" count="1" selected="0">
            <x v="1"/>
          </reference>
        </references>
      </pivotArea>
    </format>
    <format dxfId="18">
      <pivotArea outline="0" collapsedLevelsAreSubtotals="1" fieldPosition="0">
        <references count="1">
          <reference field="4294967294" count="1" selected="0">
            <x v="2"/>
          </reference>
        </references>
      </pivotArea>
    </format>
  </formats>
  <chartFormats count="3">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xlsx!Work">
        <x15:activeTabTopLevelEntity name="[Wor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6F3718-A75D-41C5-AEB4-143993D6BCA3}" name="PivotTable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6"/>
  </dataFields>
  <formats count="1">
    <format dxfId="21">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xlsx!Work">
        <x15:activeTabTopLevelEntity name="[Work]"/>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DB073C3-69AB-4A64-9284-C932799E8541}" sourceName="[Work].[Country]">
  <pivotTables>
    <pivotTable tabId="5" name="PivotTable8"/>
    <pivotTable tabId="5" name="PivotTable6"/>
    <pivotTable tabId="5" name="PivotTable7"/>
    <pivotTable tabId="5" name="PivotTable9"/>
    <pivotTable tabId="5" name="PivotTable1"/>
    <pivotTable tabId="5" name="PivotTable2"/>
    <pivotTable tabId="5" name="PivotTable3"/>
    <pivotTable tabId="5" name="PivotTable4"/>
    <pivotTable tabId="5" name="PivotTable5"/>
  </pivotTables>
  <data>
    <olap pivotCacheId="606499741">
      <levels count="2">
        <level uniqueName="[Work].[Country].[(All)]" sourceCaption="(All)" count="0"/>
        <level uniqueName="[Work].[Country].[Country]" sourceCaption="Country" count="7">
          <ranges>
            <range startItem="0">
              <i n="[Work].[Country].&amp;[Antarctica]" c="Antarctica"/>
              <i n="[Work].[Country].&amp;[Australia]" c="Australia"/>
              <i n="[Work].[Country].&amp;[Brazil]" c="Brazil"/>
              <i n="[Work].[Country].&amp;[China]" c="China"/>
              <i n="[Work].[Country].&amp;[Nigeria]" c="Nigeria"/>
              <i n="[Work].[Country].&amp;[United Kingdom]" c="United Kingdom"/>
              <i n="[Work].[Country].&amp;[United States]" c="United States"/>
            </range>
          </ranges>
        </level>
      </levels>
      <selections count="1">
        <selection n="[Work].[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9C91814-01BA-4835-8D18-81335DD25585}" sourceName="[Work].[Payment Method]">
  <pivotTables>
    <pivotTable tabId="5" name="PivotTable8"/>
    <pivotTable tabId="5" name="PivotTable1"/>
    <pivotTable tabId="5" name="PivotTable2"/>
    <pivotTable tabId="5" name="PivotTable3"/>
    <pivotTable tabId="5" name="PivotTable4"/>
    <pivotTable tabId="5" name="PivotTable5"/>
    <pivotTable tabId="5" name="PivotTable6"/>
    <pivotTable tabId="5" name="PivotTable7"/>
    <pivotTable tabId="5" name="PivotTable9"/>
  </pivotTables>
  <data>
    <olap pivotCacheId="606499741">
      <levels count="2">
        <level uniqueName="[Work].[Payment Method].[(All)]" sourceCaption="(All)" count="0"/>
        <level uniqueName="[Work].[Payment Method].[Payment Method]" sourceCaption="Payment Method" count="4">
          <ranges>
            <range startItem="0">
              <i n="[Work].[Payment Method].&amp;[Bank Transfer]" c="Bank Transfer"/>
              <i n="[Work].[Payment Method].&amp;[Cash]" c="Cash"/>
              <i n="[Work].[Payment Method].&amp;[Credit Card]" c="Credit Card"/>
              <i n="[Work].[Payment Method].&amp;[Mobile Money]" c="Mobile Money"/>
            </range>
          </ranges>
        </level>
      </levels>
      <selections count="1">
        <selection n="[Work].[Payment Metho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1E8E1E8-89F9-4F3F-A60D-904733FFABDC}" sourceName="[Work].[month]">
  <pivotTables>
    <pivotTable tabId="5" name="PivotTable5"/>
    <pivotTable tabId="5" name="PivotTable1"/>
    <pivotTable tabId="5" name="PivotTable2"/>
    <pivotTable tabId="5" name="PivotTable3"/>
    <pivotTable tabId="5" name="PivotTable4"/>
  </pivotTables>
  <data>
    <olap pivotCacheId="606499741">
      <levels count="2">
        <level uniqueName="[Work].[month].[(All)]" sourceCaption="(All)" count="0"/>
        <level uniqueName="[Work].[month].[month]" sourceCaption="month" count="12">
          <ranges>
            <range startItem="0">
              <i n="[Work].[month].&amp;[Apr]" c="Apr"/>
              <i n="[Work].[month].&amp;[Aug]" c="Aug"/>
              <i n="[Work].[month].&amp;[Dec]" c="Dec"/>
              <i n="[Work].[month].&amp;[Feb]" c="Feb"/>
              <i n="[Work].[month].&amp;[Jan]" c="Jan"/>
              <i n="[Work].[month].&amp;[Jul]" c="Jul"/>
              <i n="[Work].[month].&amp;[Jun]" c="Jun"/>
              <i n="[Work].[month].&amp;[Mar]" c="Mar"/>
              <i n="[Work].[month].&amp;[May]" c="May"/>
              <i n="[Work].[month].&amp;[Nov]" c="Nov"/>
              <i n="[Work].[month].&amp;[Oct]" c="Oct"/>
              <i n="[Work].[month].&amp;[Sept]" c="Sept"/>
            </range>
          </ranges>
        </level>
      </levels>
      <selections count="1">
        <selection n="[Work].[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854AE258-B1E2-4880-B85E-DEE61119BC55}" cache="Slicer_Country" caption="Country" startItem="2" level="1" rowHeight="241300"/>
  <slicer name="Payment Method 1" xr10:uid="{F86CB0BE-E666-4685-83E0-57AA9DE67468}" cache="Slicer_Payment_Method" caption="Payment Method" level="1" rowHeight="241300"/>
  <slicer name="month 1" xr10:uid="{9BF6B43F-9FE5-4364-97A0-C4B231399588}" cache="Slicer_month" caption="month" columnCount="12" showCaption="0" level="1"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97D997-C0FC-4751-8819-B819C34EAD9E}" name="Cost" displayName="Cost" ref="A1:B26" totalsRowShown="0">
  <autoFilter ref="A1:B26" xr:uid="{8C97D997-C0FC-4751-8819-B819C34EAD9E}"/>
  <tableColumns count="2">
    <tableColumn id="1" xr3:uid="{85D68078-008B-4696-AB73-BB195A808710}" name="Product Name"/>
    <tableColumn id="2" xr3:uid="{A817D840-CA0F-432B-8E54-29FE8A2D1897}" name="Cost Percentag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586C56-967F-4BC8-A860-EEFE89B22216}" name="Work" displayName="Work" ref="A1:S556" totalsRowShown="0">
  <autoFilter ref="A1:S556" xr:uid="{74586C56-967F-4BC8-A860-EEFE89B22216}"/>
  <sortState xmlns:xlrd2="http://schemas.microsoft.com/office/spreadsheetml/2017/richdata2" ref="A2:S556">
    <sortCondition ref="H1:H556"/>
  </sortState>
  <tableColumns count="19">
    <tableColumn id="1" xr3:uid="{787FE045-5B7D-4AD3-8251-A3C603AEB791}" name="Order ID"/>
    <tableColumn id="2" xr3:uid="{F3A1D2C2-4A2C-473F-B700-B0F2BB131FC2}" name="Customer Name"/>
    <tableColumn id="3" xr3:uid="{E397813D-C53D-4963-9210-5381D754CE4B}" name="Product Category"/>
    <tableColumn id="4" xr3:uid="{E2CE156C-5589-4B25-83D9-E0FFAF8C7681}" name="Product Name"/>
    <tableColumn id="5" xr3:uid="{49C38189-5265-4642-A4D8-25BD3F06B99B}" name="Order Date" dataDxfId="33"/>
    <tableColumn id="6" xr3:uid="{98378231-B2E1-4B56-A378-B73899E89570}" name="Delivered Date" dataDxfId="32"/>
    <tableColumn id="17" xr3:uid="{D5D37A8F-C0AE-4B32-8B36-124570379CD6}" name="month" dataDxfId="31">
      <calculatedColumnFormula>TEXT(Work[[#This Row],[Delivered Date]],"mmm")</calculatedColumnFormula>
    </tableColumn>
    <tableColumn id="19" xr3:uid="{BF73A77C-30C8-4CE8-AF82-C0497699B5CC}" name="MONTH2" dataDxfId="30">
      <calculatedColumnFormula>MONTH(Work[[#This Row],[Delivered Date]])</calculatedColumnFormula>
    </tableColumn>
    <tableColumn id="18" xr3:uid="{FBC3DE45-3373-4D09-9564-CB1F09374915}" name="Day" dataDxfId="29">
      <calculatedColumnFormula>TEXT(Work[[#This Row],[Delivered Date]],"ddd")</calculatedColumnFormula>
    </tableColumn>
    <tableColumn id="13" xr3:uid="{F092AF09-DC5C-48BF-8314-87A1EBA69B62}" name="cost percentage" dataDxfId="28">
      <calculatedColumnFormula>_xlfn.XLOOKUP(Work[[#This Row],[Product Name]],Cost[Product Name],Cost[Cost Percentage],"NA")</calculatedColumnFormula>
    </tableColumn>
    <tableColumn id="8" xr3:uid="{030B002A-76E5-4B58-B33D-057657E926B7}" name="Unit Price" dataDxfId="27"/>
    <tableColumn id="12" xr3:uid="{52D21DDD-6E70-4D47-AAE0-50C293E56C22}" name="Revenue" dataDxfId="26">
      <calculatedColumnFormula>Work[[#This Row],[Unit Price]]*Work[[#This Row],[Quantity]]</calculatedColumnFormula>
    </tableColumn>
    <tableColumn id="14" xr3:uid="{3BF536D4-3C8F-4ABC-A815-615535D84791}" name="Cost" dataDxfId="25">
      <calculatedColumnFormula>Work[[#This Row],[Revenue]]*Work[[#This Row],[cost percentage]]</calculatedColumnFormula>
    </tableColumn>
    <tableColumn id="15" xr3:uid="{9C03E691-FB41-4372-8690-EE1F9F781D81}" name="Profit" dataDxfId="24">
      <calculatedColumnFormula>Work[[#This Row],[Revenue]]-Work[[#This Row],[Cost]]</calculatedColumnFormula>
    </tableColumn>
    <tableColumn id="7" xr3:uid="{4FF92545-6D69-4687-98BC-E99320451D99}" name="Quantity" dataDxfId="23"/>
    <tableColumn id="16" xr3:uid="{8655F627-0DF3-4208-91D4-5FDEB7DAC274}" name="Delivery Time" dataDxfId="22">
      <calculatedColumnFormula>Work[[#This Row],[Delivered Date]]-Work[[#This Row],[Order Date]]</calculatedColumnFormula>
    </tableColumn>
    <tableColumn id="9" xr3:uid="{9E087741-DAFF-4011-8C42-D713AD6A5D48}" name="Status"/>
    <tableColumn id="10" xr3:uid="{CE4B2AAC-EB99-4A5B-A0B5-95C829CB0958}" name="Country"/>
    <tableColumn id="11" xr3:uid="{92BD2260-3B1A-4B15-BFA7-4DDE15E9EF5B}" name="Payment 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3.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602F9-F452-4AE9-9966-49D30FFF3B96}">
  <dimension ref="A1:B26"/>
  <sheetViews>
    <sheetView workbookViewId="0">
      <selection activeCell="B12" sqref="B12"/>
    </sheetView>
  </sheetViews>
  <sheetFormatPr defaultRowHeight="14.5" x14ac:dyDescent="0.35"/>
  <cols>
    <col min="1" max="1" width="15.453125" bestFit="1" customWidth="1"/>
    <col min="2" max="2" width="16.453125" customWidth="1"/>
  </cols>
  <sheetData>
    <row r="1" spans="1:2" x14ac:dyDescent="0.35">
      <c r="A1" t="s">
        <v>3</v>
      </c>
      <c r="B1" t="s">
        <v>553</v>
      </c>
    </row>
    <row r="2" spans="1:2" x14ac:dyDescent="0.35">
      <c r="A2" t="s">
        <v>13</v>
      </c>
      <c r="B2">
        <v>0.75</v>
      </c>
    </row>
    <row r="3" spans="1:2" x14ac:dyDescent="0.35">
      <c r="A3" t="s">
        <v>27</v>
      </c>
      <c r="B3">
        <v>0.65</v>
      </c>
    </row>
    <row r="4" spans="1:2" x14ac:dyDescent="0.35">
      <c r="A4" t="s">
        <v>36</v>
      </c>
      <c r="B4">
        <v>0.8</v>
      </c>
    </row>
    <row r="5" spans="1:2" x14ac:dyDescent="0.35">
      <c r="A5" t="s">
        <v>58</v>
      </c>
      <c r="B5">
        <v>0.85</v>
      </c>
    </row>
    <row r="6" spans="1:2" x14ac:dyDescent="0.35">
      <c r="A6" t="s">
        <v>96</v>
      </c>
      <c r="B6">
        <v>0.7</v>
      </c>
    </row>
    <row r="7" spans="1:2" x14ac:dyDescent="0.35">
      <c r="A7" t="s">
        <v>18</v>
      </c>
      <c r="B7">
        <v>0.5</v>
      </c>
    </row>
    <row r="8" spans="1:2" x14ac:dyDescent="0.35">
      <c r="A8" t="s">
        <v>56</v>
      </c>
      <c r="B8">
        <v>0.55000000000000004</v>
      </c>
    </row>
    <row r="9" spans="1:2" x14ac:dyDescent="0.35">
      <c r="A9" t="s">
        <v>44</v>
      </c>
      <c r="B9">
        <v>0.6</v>
      </c>
    </row>
    <row r="10" spans="1:2" x14ac:dyDescent="0.35">
      <c r="A10" t="s">
        <v>60</v>
      </c>
      <c r="B10">
        <v>0.65</v>
      </c>
    </row>
    <row r="11" spans="1:2" x14ac:dyDescent="0.35">
      <c r="A11" t="s">
        <v>64</v>
      </c>
      <c r="B11">
        <v>0.5</v>
      </c>
    </row>
    <row r="12" spans="1:2" x14ac:dyDescent="0.35">
      <c r="A12" t="s">
        <v>52</v>
      </c>
      <c r="B12">
        <v>0.7</v>
      </c>
    </row>
    <row r="13" spans="1:2" x14ac:dyDescent="0.35">
      <c r="A13" t="s">
        <v>22</v>
      </c>
      <c r="B13">
        <v>0.75</v>
      </c>
    </row>
    <row r="14" spans="1:2" x14ac:dyDescent="0.35">
      <c r="A14" t="s">
        <v>83</v>
      </c>
      <c r="B14">
        <v>0.8</v>
      </c>
    </row>
    <row r="15" spans="1:2" x14ac:dyDescent="0.35">
      <c r="A15" t="s">
        <v>54</v>
      </c>
      <c r="B15">
        <v>0.7</v>
      </c>
    </row>
    <row r="16" spans="1:2" x14ac:dyDescent="0.35">
      <c r="A16" t="s">
        <v>40</v>
      </c>
      <c r="B16">
        <v>0.65</v>
      </c>
    </row>
    <row r="17" spans="1:2" x14ac:dyDescent="0.35">
      <c r="A17" t="s">
        <v>25</v>
      </c>
      <c r="B17">
        <v>0.55000000000000004</v>
      </c>
    </row>
    <row r="18" spans="1:2" x14ac:dyDescent="0.35">
      <c r="A18" t="s">
        <v>38</v>
      </c>
      <c r="B18">
        <v>0.5</v>
      </c>
    </row>
    <row r="19" spans="1:2" x14ac:dyDescent="0.35">
      <c r="A19" t="s">
        <v>100</v>
      </c>
      <c r="B19">
        <v>0.6</v>
      </c>
    </row>
    <row r="20" spans="1:2" x14ac:dyDescent="0.35">
      <c r="A20" t="s">
        <v>70</v>
      </c>
      <c r="B20">
        <v>0.55000000000000004</v>
      </c>
    </row>
    <row r="21" spans="1:2" x14ac:dyDescent="0.35">
      <c r="A21" t="s">
        <v>115</v>
      </c>
      <c r="B21">
        <v>0.6</v>
      </c>
    </row>
    <row r="22" spans="1:2" x14ac:dyDescent="0.35">
      <c r="A22" t="s">
        <v>32</v>
      </c>
      <c r="B22">
        <v>0.75</v>
      </c>
    </row>
    <row r="23" spans="1:2" x14ac:dyDescent="0.35">
      <c r="A23" t="s">
        <v>42</v>
      </c>
      <c r="B23">
        <v>0.65</v>
      </c>
    </row>
    <row r="24" spans="1:2" x14ac:dyDescent="0.35">
      <c r="A24" t="s">
        <v>50</v>
      </c>
      <c r="B24">
        <v>0.7</v>
      </c>
    </row>
    <row r="25" spans="1:2" x14ac:dyDescent="0.35">
      <c r="A25" t="s">
        <v>76</v>
      </c>
      <c r="B25">
        <v>0.75</v>
      </c>
    </row>
    <row r="26" spans="1:2" x14ac:dyDescent="0.35">
      <c r="A26" t="s">
        <v>79</v>
      </c>
      <c r="B26">
        <v>0.65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42D4C-A94B-445D-B010-B73EF1D61E7D}">
  <dimension ref="A1:M557"/>
  <sheetViews>
    <sheetView topLeftCell="A14" zoomScaleNormal="100" workbookViewId="0">
      <selection activeCell="H38" sqref="H38"/>
    </sheetView>
  </sheetViews>
  <sheetFormatPr defaultRowHeight="14.5" x14ac:dyDescent="0.35"/>
  <cols>
    <col min="1" max="1" width="8" bestFit="1" customWidth="1"/>
    <col min="2" max="2" width="22.81640625" bestFit="1" customWidth="1"/>
    <col min="3" max="3" width="15.1796875" bestFit="1" customWidth="1"/>
    <col min="4" max="4" width="13.81640625" bestFit="1" customWidth="1"/>
    <col min="5" max="5" width="10.08984375" bestFit="1" customWidth="1"/>
    <col min="6" max="6" width="27.90625" bestFit="1" customWidth="1"/>
    <col min="7" max="7" width="8" bestFit="1" customWidth="1"/>
    <col min="9" max="9" width="9.90625" bestFit="1" customWidth="1"/>
    <col min="10" max="10" width="14.1796875" bestFit="1" customWidth="1"/>
    <col min="11" max="11" width="15.26953125" bestFit="1" customWidth="1"/>
    <col min="13" max="13" width="1.269531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v>1</v>
      </c>
      <c r="B2" t="s">
        <v>11</v>
      </c>
      <c r="C2" t="s">
        <v>12</v>
      </c>
      <c r="D2" t="s">
        <v>13</v>
      </c>
      <c r="E2">
        <v>45432</v>
      </c>
      <c r="F2" s="1">
        <v>45436</v>
      </c>
      <c r="G2">
        <v>4</v>
      </c>
      <c r="H2">
        <v>238</v>
      </c>
      <c r="I2" t="s">
        <v>14</v>
      </c>
      <c r="J2" t="s">
        <v>551</v>
      </c>
      <c r="K2" t="s">
        <v>15</v>
      </c>
    </row>
    <row r="3" spans="1:11" x14ac:dyDescent="0.35">
      <c r="A3">
        <v>2</v>
      </c>
      <c r="B3" t="s">
        <v>16</v>
      </c>
      <c r="C3" t="s">
        <v>17</v>
      </c>
      <c r="D3" t="s">
        <v>18</v>
      </c>
      <c r="E3">
        <v>45594</v>
      </c>
      <c r="F3" s="1">
        <v>45600</v>
      </c>
      <c r="G3">
        <v>7</v>
      </c>
      <c r="H3">
        <v>42</v>
      </c>
      <c r="I3" t="s">
        <v>14</v>
      </c>
      <c r="J3" t="s">
        <v>551</v>
      </c>
      <c r="K3" t="s">
        <v>19</v>
      </c>
    </row>
    <row r="4" spans="1:11" x14ac:dyDescent="0.35">
      <c r="A4">
        <v>3</v>
      </c>
      <c r="B4" t="s">
        <v>20</v>
      </c>
      <c r="C4" t="s">
        <v>21</v>
      </c>
      <c r="D4" t="s">
        <v>22</v>
      </c>
      <c r="E4">
        <v>45593</v>
      </c>
      <c r="F4" s="1">
        <v>45603</v>
      </c>
      <c r="G4">
        <v>5</v>
      </c>
      <c r="H4">
        <v>838</v>
      </c>
      <c r="I4" t="s">
        <v>14</v>
      </c>
      <c r="J4" t="s">
        <v>549</v>
      </c>
      <c r="K4" t="s">
        <v>19</v>
      </c>
    </row>
    <row r="5" spans="1:11" x14ac:dyDescent="0.35">
      <c r="A5">
        <v>4</v>
      </c>
      <c r="B5" t="s">
        <v>23</v>
      </c>
      <c r="C5" t="s">
        <v>24</v>
      </c>
      <c r="D5" t="s">
        <v>25</v>
      </c>
      <c r="E5">
        <v>45434</v>
      </c>
      <c r="F5" s="1">
        <v>45439</v>
      </c>
      <c r="G5">
        <v>3</v>
      </c>
      <c r="H5">
        <v>230</v>
      </c>
      <c r="I5" t="s">
        <v>14</v>
      </c>
      <c r="J5" t="s">
        <v>549</v>
      </c>
      <c r="K5" t="s">
        <v>19</v>
      </c>
    </row>
    <row r="6" spans="1:11" x14ac:dyDescent="0.35">
      <c r="A6">
        <v>5</v>
      </c>
      <c r="B6" t="s">
        <v>26</v>
      </c>
      <c r="C6" t="s">
        <v>12</v>
      </c>
      <c r="D6" t="s">
        <v>27</v>
      </c>
      <c r="E6">
        <v>45566</v>
      </c>
      <c r="F6" s="1">
        <v>45582</v>
      </c>
      <c r="G6">
        <v>2</v>
      </c>
      <c r="H6">
        <v>954</v>
      </c>
      <c r="I6" t="s">
        <v>28</v>
      </c>
      <c r="J6" t="s">
        <v>550</v>
      </c>
      <c r="K6" t="s">
        <v>29</v>
      </c>
    </row>
    <row r="7" spans="1:11" x14ac:dyDescent="0.35">
      <c r="A7">
        <v>6</v>
      </c>
      <c r="B7" t="s">
        <v>30</v>
      </c>
      <c r="C7" t="s">
        <v>31</v>
      </c>
      <c r="D7" t="s">
        <v>32</v>
      </c>
      <c r="E7">
        <v>45477</v>
      </c>
      <c r="F7" s="1">
        <v>45483</v>
      </c>
      <c r="G7">
        <v>10</v>
      </c>
      <c r="H7">
        <v>206</v>
      </c>
      <c r="I7" t="s">
        <v>14</v>
      </c>
      <c r="J7" t="s">
        <v>33</v>
      </c>
      <c r="K7" t="s">
        <v>29</v>
      </c>
    </row>
    <row r="8" spans="1:11" x14ac:dyDescent="0.35">
      <c r="A8">
        <v>7</v>
      </c>
      <c r="B8" t="s">
        <v>34</v>
      </c>
      <c r="C8" t="s">
        <v>24</v>
      </c>
      <c r="D8" t="s">
        <v>25</v>
      </c>
      <c r="E8">
        <v>45375</v>
      </c>
      <c r="F8" s="1">
        <v>45387</v>
      </c>
      <c r="G8">
        <v>6</v>
      </c>
      <c r="H8">
        <v>373</v>
      </c>
      <c r="I8" t="s">
        <v>28</v>
      </c>
      <c r="J8" t="s">
        <v>551</v>
      </c>
      <c r="K8" t="s">
        <v>29</v>
      </c>
    </row>
    <row r="9" spans="1:11" x14ac:dyDescent="0.35">
      <c r="A9">
        <v>8</v>
      </c>
      <c r="B9" t="s">
        <v>35</v>
      </c>
      <c r="C9" t="s">
        <v>12</v>
      </c>
      <c r="D9" t="s">
        <v>36</v>
      </c>
      <c r="E9">
        <v>45617</v>
      </c>
      <c r="F9" s="1">
        <v>45627</v>
      </c>
      <c r="G9">
        <v>3</v>
      </c>
      <c r="H9">
        <v>556</v>
      </c>
      <c r="I9" t="s">
        <v>14</v>
      </c>
      <c r="J9" t="s">
        <v>33</v>
      </c>
      <c r="K9" t="s">
        <v>19</v>
      </c>
    </row>
    <row r="10" spans="1:11" x14ac:dyDescent="0.35">
      <c r="A10">
        <v>9</v>
      </c>
      <c r="B10" t="s">
        <v>37</v>
      </c>
      <c r="C10" t="s">
        <v>24</v>
      </c>
      <c r="D10" t="s">
        <v>38</v>
      </c>
      <c r="E10">
        <v>45430</v>
      </c>
      <c r="F10" s="1">
        <v>45434</v>
      </c>
      <c r="G10">
        <v>9</v>
      </c>
      <c r="H10">
        <v>234</v>
      </c>
      <c r="I10" t="s">
        <v>14</v>
      </c>
      <c r="J10" t="s">
        <v>33</v>
      </c>
      <c r="K10" t="s">
        <v>19</v>
      </c>
    </row>
    <row r="11" spans="1:11" x14ac:dyDescent="0.35">
      <c r="A11">
        <v>10</v>
      </c>
      <c r="B11" t="s">
        <v>39</v>
      </c>
      <c r="C11" t="s">
        <v>21</v>
      </c>
      <c r="D11" t="s">
        <v>40</v>
      </c>
      <c r="E11">
        <v>45453</v>
      </c>
      <c r="F11" s="1">
        <v>45468</v>
      </c>
      <c r="G11">
        <v>7</v>
      </c>
      <c r="H11">
        <v>284</v>
      </c>
      <c r="I11" t="s">
        <v>28</v>
      </c>
      <c r="J11" t="s">
        <v>551</v>
      </c>
      <c r="K11" t="s">
        <v>19</v>
      </c>
    </row>
    <row r="12" spans="1:11" x14ac:dyDescent="0.35">
      <c r="A12">
        <v>11</v>
      </c>
      <c r="B12" t="s">
        <v>41</v>
      </c>
      <c r="C12" t="s">
        <v>31</v>
      </c>
      <c r="D12" t="s">
        <v>42</v>
      </c>
      <c r="E12">
        <v>45627</v>
      </c>
      <c r="F12" s="1">
        <v>45636</v>
      </c>
      <c r="G12">
        <v>8</v>
      </c>
      <c r="H12">
        <v>415</v>
      </c>
      <c r="I12" t="s">
        <v>14</v>
      </c>
      <c r="J12" t="s">
        <v>33</v>
      </c>
      <c r="K12" t="s">
        <v>29</v>
      </c>
    </row>
    <row r="13" spans="1:11" x14ac:dyDescent="0.35">
      <c r="A13">
        <v>12</v>
      </c>
      <c r="B13" t="s">
        <v>43</v>
      </c>
      <c r="C13" t="s">
        <v>17</v>
      </c>
      <c r="D13" t="s">
        <v>44</v>
      </c>
      <c r="E13">
        <v>45477</v>
      </c>
      <c r="F13" s="1">
        <v>45480</v>
      </c>
      <c r="G13">
        <v>4</v>
      </c>
      <c r="H13">
        <v>151</v>
      </c>
      <c r="I13" t="s">
        <v>14</v>
      </c>
      <c r="J13" t="s">
        <v>33</v>
      </c>
      <c r="K13" t="s">
        <v>19</v>
      </c>
    </row>
    <row r="14" spans="1:11" x14ac:dyDescent="0.35">
      <c r="A14">
        <v>13</v>
      </c>
      <c r="B14" t="s">
        <v>45</v>
      </c>
      <c r="C14" t="s">
        <v>12</v>
      </c>
      <c r="D14" t="s">
        <v>13</v>
      </c>
      <c r="E14">
        <v>45370</v>
      </c>
      <c r="F14" s="1">
        <v>45380</v>
      </c>
      <c r="G14">
        <v>3</v>
      </c>
      <c r="H14">
        <v>821</v>
      </c>
      <c r="I14" t="s">
        <v>28</v>
      </c>
      <c r="J14" t="s">
        <v>33</v>
      </c>
      <c r="K14" t="s">
        <v>46</v>
      </c>
    </row>
    <row r="15" spans="1:11" x14ac:dyDescent="0.35">
      <c r="A15">
        <v>14</v>
      </c>
      <c r="B15" t="s">
        <v>47</v>
      </c>
      <c r="C15" t="s">
        <v>12</v>
      </c>
      <c r="D15" t="s">
        <v>27</v>
      </c>
      <c r="E15">
        <v>45487</v>
      </c>
      <c r="F15" s="1">
        <v>45501</v>
      </c>
      <c r="G15">
        <v>10</v>
      </c>
      <c r="H15">
        <v>489</v>
      </c>
      <c r="I15" t="s">
        <v>28</v>
      </c>
      <c r="J15" t="s">
        <v>33</v>
      </c>
      <c r="K15" t="s">
        <v>29</v>
      </c>
    </row>
    <row r="16" spans="1:11" x14ac:dyDescent="0.35">
      <c r="A16">
        <v>15</v>
      </c>
      <c r="B16" t="s">
        <v>48</v>
      </c>
      <c r="C16" t="s">
        <v>12</v>
      </c>
      <c r="D16" t="s">
        <v>13</v>
      </c>
      <c r="E16">
        <v>45641</v>
      </c>
      <c r="F16" s="1">
        <v>45650</v>
      </c>
      <c r="G16">
        <v>9</v>
      </c>
      <c r="H16">
        <v>778</v>
      </c>
      <c r="I16" t="s">
        <v>14</v>
      </c>
      <c r="J16" t="s">
        <v>547</v>
      </c>
      <c r="K16" t="s">
        <v>29</v>
      </c>
    </row>
    <row r="17" spans="1:11" x14ac:dyDescent="0.35">
      <c r="A17">
        <v>16</v>
      </c>
      <c r="B17" t="s">
        <v>49</v>
      </c>
      <c r="C17" t="s">
        <v>31</v>
      </c>
      <c r="D17" t="s">
        <v>50</v>
      </c>
      <c r="E17">
        <v>45372</v>
      </c>
      <c r="F17" s="1">
        <v>45380</v>
      </c>
      <c r="G17">
        <v>8</v>
      </c>
      <c r="H17">
        <v>13</v>
      </c>
      <c r="I17" t="s">
        <v>28</v>
      </c>
      <c r="J17" t="s">
        <v>33</v>
      </c>
      <c r="K17" t="s">
        <v>46</v>
      </c>
    </row>
    <row r="18" spans="1:11" x14ac:dyDescent="0.35">
      <c r="A18">
        <v>17</v>
      </c>
      <c r="B18" t="s">
        <v>51</v>
      </c>
      <c r="C18" t="s">
        <v>21</v>
      </c>
      <c r="D18" t="s">
        <v>52</v>
      </c>
      <c r="E18">
        <v>45346</v>
      </c>
      <c r="F18" s="1">
        <v>45354</v>
      </c>
      <c r="G18">
        <v>5</v>
      </c>
      <c r="H18">
        <v>871</v>
      </c>
      <c r="I18" t="s">
        <v>28</v>
      </c>
      <c r="J18" t="s">
        <v>33</v>
      </c>
      <c r="K18" t="s">
        <v>15</v>
      </c>
    </row>
    <row r="19" spans="1:11" x14ac:dyDescent="0.35">
      <c r="A19">
        <v>18</v>
      </c>
      <c r="B19" t="s">
        <v>53</v>
      </c>
      <c r="C19" t="s">
        <v>21</v>
      </c>
      <c r="D19" t="s">
        <v>54</v>
      </c>
      <c r="E19">
        <v>45483</v>
      </c>
      <c r="F19" s="1">
        <v>45492</v>
      </c>
      <c r="G19">
        <v>3</v>
      </c>
      <c r="H19">
        <v>562</v>
      </c>
      <c r="I19" t="s">
        <v>14</v>
      </c>
      <c r="J19" t="s">
        <v>549</v>
      </c>
      <c r="K19" t="s">
        <v>46</v>
      </c>
    </row>
    <row r="20" spans="1:11" x14ac:dyDescent="0.35">
      <c r="A20">
        <v>19</v>
      </c>
      <c r="B20" t="s">
        <v>55</v>
      </c>
      <c r="C20" t="s">
        <v>17</v>
      </c>
      <c r="D20" t="s">
        <v>56</v>
      </c>
      <c r="E20">
        <v>45542</v>
      </c>
      <c r="F20" s="1">
        <v>45552</v>
      </c>
      <c r="G20">
        <v>1</v>
      </c>
      <c r="H20">
        <v>124</v>
      </c>
      <c r="I20" t="s">
        <v>14</v>
      </c>
      <c r="J20" t="s">
        <v>547</v>
      </c>
      <c r="K20" t="s">
        <v>15</v>
      </c>
    </row>
    <row r="21" spans="1:11" x14ac:dyDescent="0.35">
      <c r="A21">
        <v>20</v>
      </c>
      <c r="B21" t="s">
        <v>57</v>
      </c>
      <c r="C21" t="s">
        <v>12</v>
      </c>
      <c r="D21" t="s">
        <v>58</v>
      </c>
      <c r="E21">
        <v>45582</v>
      </c>
      <c r="F21" s="1">
        <v>45588</v>
      </c>
      <c r="G21">
        <v>2</v>
      </c>
      <c r="H21">
        <v>97</v>
      </c>
      <c r="I21" t="s">
        <v>14</v>
      </c>
      <c r="J21" t="s">
        <v>33</v>
      </c>
      <c r="K21" t="s">
        <v>46</v>
      </c>
    </row>
    <row r="22" spans="1:11" x14ac:dyDescent="0.35">
      <c r="A22">
        <v>21</v>
      </c>
      <c r="B22" t="s">
        <v>43</v>
      </c>
      <c r="C22" t="s">
        <v>17</v>
      </c>
      <c r="D22" t="s">
        <v>44</v>
      </c>
      <c r="E22">
        <v>45477</v>
      </c>
      <c r="F22" s="1">
        <v>45480</v>
      </c>
      <c r="G22">
        <v>4</v>
      </c>
      <c r="H22">
        <v>151</v>
      </c>
      <c r="I22" t="s">
        <v>14</v>
      </c>
      <c r="J22" t="s">
        <v>33</v>
      </c>
      <c r="K22" t="s">
        <v>15</v>
      </c>
    </row>
    <row r="23" spans="1:11" x14ac:dyDescent="0.35">
      <c r="A23">
        <v>22</v>
      </c>
      <c r="B23" t="s">
        <v>59</v>
      </c>
      <c r="C23" t="s">
        <v>17</v>
      </c>
      <c r="D23" t="s">
        <v>60</v>
      </c>
      <c r="E23">
        <v>45508</v>
      </c>
      <c r="F23" s="1">
        <v>45520</v>
      </c>
      <c r="G23">
        <v>4</v>
      </c>
      <c r="H23">
        <v>961</v>
      </c>
      <c r="I23" t="s">
        <v>28</v>
      </c>
      <c r="J23" t="s">
        <v>33</v>
      </c>
      <c r="K23" t="s">
        <v>15</v>
      </c>
    </row>
    <row r="24" spans="1:11" x14ac:dyDescent="0.35">
      <c r="A24">
        <v>23</v>
      </c>
      <c r="B24" t="s">
        <v>61</v>
      </c>
      <c r="C24" t="s">
        <v>31</v>
      </c>
      <c r="D24" t="s">
        <v>50</v>
      </c>
      <c r="E24">
        <v>45635</v>
      </c>
      <c r="F24" s="1">
        <v>45638</v>
      </c>
      <c r="G24">
        <v>6</v>
      </c>
      <c r="H24">
        <v>458</v>
      </c>
      <c r="I24" t="s">
        <v>14</v>
      </c>
      <c r="J24" t="s">
        <v>33</v>
      </c>
      <c r="K24" t="s">
        <v>19</v>
      </c>
    </row>
    <row r="25" spans="1:11" x14ac:dyDescent="0.35">
      <c r="A25">
        <v>24</v>
      </c>
      <c r="B25" t="s">
        <v>62</v>
      </c>
      <c r="C25" t="s">
        <v>21</v>
      </c>
      <c r="D25" t="s">
        <v>54</v>
      </c>
      <c r="E25">
        <v>45324</v>
      </c>
      <c r="F25" s="1">
        <v>45334</v>
      </c>
      <c r="G25">
        <v>6</v>
      </c>
      <c r="H25">
        <v>31</v>
      </c>
      <c r="I25" t="s">
        <v>14</v>
      </c>
      <c r="J25" t="s">
        <v>33</v>
      </c>
      <c r="K25" t="s">
        <v>29</v>
      </c>
    </row>
    <row r="26" spans="1:11" x14ac:dyDescent="0.35">
      <c r="A26">
        <v>25</v>
      </c>
      <c r="B26" t="s">
        <v>63</v>
      </c>
      <c r="C26" t="s">
        <v>17</v>
      </c>
      <c r="D26" t="s">
        <v>64</v>
      </c>
      <c r="E26">
        <v>45295</v>
      </c>
      <c r="F26" s="1">
        <v>45306</v>
      </c>
      <c r="G26">
        <v>2</v>
      </c>
      <c r="H26">
        <v>734</v>
      </c>
      <c r="I26" t="s">
        <v>14</v>
      </c>
      <c r="J26" t="s">
        <v>33</v>
      </c>
      <c r="K26" t="s">
        <v>46</v>
      </c>
    </row>
    <row r="27" spans="1:11" x14ac:dyDescent="0.35">
      <c r="A27">
        <v>16</v>
      </c>
      <c r="B27" t="s">
        <v>49</v>
      </c>
      <c r="C27" t="s">
        <v>31</v>
      </c>
      <c r="D27" t="s">
        <v>50</v>
      </c>
      <c r="E27">
        <v>45372</v>
      </c>
      <c r="F27" s="1">
        <v>45380</v>
      </c>
      <c r="G27">
        <v>8</v>
      </c>
      <c r="H27">
        <v>13</v>
      </c>
      <c r="I27" t="s">
        <v>28</v>
      </c>
      <c r="J27" t="s">
        <v>33</v>
      </c>
      <c r="K27" t="s">
        <v>46</v>
      </c>
    </row>
    <row r="28" spans="1:11" x14ac:dyDescent="0.35">
      <c r="A28">
        <v>26</v>
      </c>
      <c r="B28" t="s">
        <v>65</v>
      </c>
      <c r="C28" t="s">
        <v>12</v>
      </c>
      <c r="D28" t="s">
        <v>13</v>
      </c>
      <c r="E28">
        <v>45461</v>
      </c>
      <c r="F28" s="1">
        <v>45472</v>
      </c>
      <c r="G28">
        <v>2</v>
      </c>
      <c r="H28">
        <v>536</v>
      </c>
      <c r="I28" t="s">
        <v>28</v>
      </c>
      <c r="J28" t="s">
        <v>551</v>
      </c>
      <c r="K28" t="s">
        <v>15</v>
      </c>
    </row>
    <row r="29" spans="1:11" x14ac:dyDescent="0.35">
      <c r="A29">
        <v>27</v>
      </c>
      <c r="B29" t="s">
        <v>66</v>
      </c>
      <c r="C29" t="s">
        <v>24</v>
      </c>
      <c r="D29" t="s">
        <v>38</v>
      </c>
      <c r="E29">
        <v>45531</v>
      </c>
      <c r="F29" s="1">
        <v>45534</v>
      </c>
      <c r="G29">
        <v>1</v>
      </c>
      <c r="H29">
        <v>200</v>
      </c>
      <c r="I29" t="s">
        <v>14</v>
      </c>
      <c r="J29" t="s">
        <v>33</v>
      </c>
      <c r="K29" t="s">
        <v>46</v>
      </c>
    </row>
    <row r="30" spans="1:11" x14ac:dyDescent="0.35">
      <c r="A30">
        <v>28</v>
      </c>
      <c r="B30" t="s">
        <v>67</v>
      </c>
      <c r="C30" t="s">
        <v>17</v>
      </c>
      <c r="D30" t="s">
        <v>18</v>
      </c>
      <c r="E30">
        <v>45317</v>
      </c>
      <c r="F30" s="1">
        <v>45329</v>
      </c>
      <c r="G30">
        <v>9</v>
      </c>
      <c r="H30">
        <v>866</v>
      </c>
      <c r="I30" t="s">
        <v>14</v>
      </c>
      <c r="J30" t="s">
        <v>551</v>
      </c>
      <c r="K30" t="s">
        <v>29</v>
      </c>
    </row>
    <row r="31" spans="1:11" x14ac:dyDescent="0.35">
      <c r="A31">
        <v>29</v>
      </c>
      <c r="B31" t="s">
        <v>68</v>
      </c>
      <c r="C31" t="s">
        <v>21</v>
      </c>
      <c r="D31" t="s">
        <v>22</v>
      </c>
      <c r="E31">
        <v>45540</v>
      </c>
      <c r="F31" s="1">
        <v>45554</v>
      </c>
      <c r="G31">
        <v>8</v>
      </c>
      <c r="H31">
        <v>228</v>
      </c>
      <c r="I31" t="s">
        <v>14</v>
      </c>
      <c r="J31" t="s">
        <v>549</v>
      </c>
      <c r="K31" t="s">
        <v>29</v>
      </c>
    </row>
    <row r="32" spans="1:11" x14ac:dyDescent="0.35">
      <c r="A32">
        <v>30</v>
      </c>
      <c r="B32" t="s">
        <v>69</v>
      </c>
      <c r="C32" t="s">
        <v>24</v>
      </c>
      <c r="D32" t="s">
        <v>70</v>
      </c>
      <c r="E32">
        <v>45630</v>
      </c>
      <c r="F32" s="1">
        <v>45637</v>
      </c>
      <c r="G32">
        <v>8</v>
      </c>
      <c r="H32">
        <v>168</v>
      </c>
      <c r="I32" t="s">
        <v>14</v>
      </c>
      <c r="J32" t="s">
        <v>551</v>
      </c>
      <c r="K32" t="s">
        <v>19</v>
      </c>
    </row>
    <row r="33" spans="1:11" x14ac:dyDescent="0.35">
      <c r="A33">
        <v>31</v>
      </c>
      <c r="B33" t="s">
        <v>71</v>
      </c>
      <c r="C33" t="s">
        <v>12</v>
      </c>
      <c r="D33" t="s">
        <v>36</v>
      </c>
      <c r="E33">
        <v>45569</v>
      </c>
      <c r="F33" s="1">
        <v>45572</v>
      </c>
      <c r="G33">
        <v>1</v>
      </c>
      <c r="H33">
        <v>775</v>
      </c>
      <c r="I33" t="s">
        <v>14</v>
      </c>
      <c r="J33" t="s">
        <v>547</v>
      </c>
      <c r="K33" t="s">
        <v>19</v>
      </c>
    </row>
    <row r="34" spans="1:11" x14ac:dyDescent="0.35">
      <c r="A34">
        <v>32</v>
      </c>
      <c r="B34" t="s">
        <v>72</v>
      </c>
      <c r="C34" t="s">
        <v>17</v>
      </c>
      <c r="D34" t="s">
        <v>44</v>
      </c>
      <c r="E34">
        <v>45549</v>
      </c>
      <c r="F34" s="1">
        <v>45554</v>
      </c>
      <c r="G34">
        <v>9</v>
      </c>
      <c r="H34">
        <v>171</v>
      </c>
      <c r="I34" t="s">
        <v>14</v>
      </c>
      <c r="J34" t="s">
        <v>551</v>
      </c>
      <c r="K34" t="s">
        <v>29</v>
      </c>
    </row>
    <row r="35" spans="1:11" x14ac:dyDescent="0.35">
      <c r="A35">
        <v>33</v>
      </c>
      <c r="B35" t="s">
        <v>73</v>
      </c>
      <c r="C35" t="s">
        <v>12</v>
      </c>
      <c r="D35" t="s">
        <v>36</v>
      </c>
      <c r="E35">
        <v>45418</v>
      </c>
      <c r="F35" s="1">
        <v>45431</v>
      </c>
      <c r="G35">
        <v>10</v>
      </c>
      <c r="H35">
        <v>618</v>
      </c>
      <c r="I35" t="s">
        <v>14</v>
      </c>
      <c r="J35" t="s">
        <v>551</v>
      </c>
      <c r="K35" t="s">
        <v>46</v>
      </c>
    </row>
    <row r="36" spans="1:11" x14ac:dyDescent="0.35">
      <c r="A36">
        <v>34</v>
      </c>
      <c r="B36" t="s">
        <v>74</v>
      </c>
      <c r="C36" t="s">
        <v>24</v>
      </c>
      <c r="D36" t="s">
        <v>70</v>
      </c>
      <c r="E36">
        <v>45581</v>
      </c>
      <c r="F36" s="1">
        <v>45586</v>
      </c>
      <c r="G36">
        <v>9</v>
      </c>
      <c r="H36">
        <v>333</v>
      </c>
      <c r="I36" t="s">
        <v>28</v>
      </c>
      <c r="J36" t="s">
        <v>547</v>
      </c>
      <c r="K36" t="s">
        <v>46</v>
      </c>
    </row>
    <row r="37" spans="1:11" x14ac:dyDescent="0.35">
      <c r="A37">
        <v>35</v>
      </c>
      <c r="B37" t="s">
        <v>75</v>
      </c>
      <c r="C37" t="s">
        <v>31</v>
      </c>
      <c r="D37" t="s">
        <v>76</v>
      </c>
      <c r="E37">
        <v>45296</v>
      </c>
      <c r="F37" s="1">
        <v>45301</v>
      </c>
      <c r="G37">
        <v>8</v>
      </c>
      <c r="H37">
        <v>646</v>
      </c>
      <c r="I37" t="s">
        <v>14</v>
      </c>
      <c r="J37" t="s">
        <v>33</v>
      </c>
      <c r="K37" t="s">
        <v>46</v>
      </c>
    </row>
    <row r="38" spans="1:11" x14ac:dyDescent="0.35">
      <c r="A38">
        <v>36</v>
      </c>
      <c r="B38" t="s">
        <v>77</v>
      </c>
      <c r="C38" t="s">
        <v>17</v>
      </c>
      <c r="D38" t="s">
        <v>64</v>
      </c>
      <c r="E38">
        <v>45551</v>
      </c>
      <c r="F38" s="1">
        <v>45556</v>
      </c>
      <c r="G38">
        <v>5</v>
      </c>
      <c r="I38" t="s">
        <v>14</v>
      </c>
      <c r="J38" t="s">
        <v>547</v>
      </c>
      <c r="K38" t="s">
        <v>15</v>
      </c>
    </row>
    <row r="39" spans="1:11" x14ac:dyDescent="0.35">
      <c r="A39">
        <v>37</v>
      </c>
      <c r="B39" t="s">
        <v>78</v>
      </c>
      <c r="C39" t="s">
        <v>31</v>
      </c>
      <c r="D39" t="s">
        <v>79</v>
      </c>
      <c r="E39">
        <v>45372</v>
      </c>
      <c r="F39" s="1">
        <v>45386</v>
      </c>
      <c r="G39">
        <v>8</v>
      </c>
      <c r="H39">
        <v>863</v>
      </c>
      <c r="I39" t="s">
        <v>28</v>
      </c>
      <c r="J39" t="s">
        <v>33</v>
      </c>
      <c r="K39" t="s">
        <v>46</v>
      </c>
    </row>
    <row r="40" spans="1:11" x14ac:dyDescent="0.35">
      <c r="A40">
        <v>38</v>
      </c>
      <c r="B40" t="s">
        <v>80</v>
      </c>
      <c r="C40" t="s">
        <v>17</v>
      </c>
      <c r="D40" t="s">
        <v>18</v>
      </c>
      <c r="E40">
        <v>45633</v>
      </c>
      <c r="F40" s="1">
        <v>45645</v>
      </c>
      <c r="G40">
        <v>9</v>
      </c>
      <c r="H40">
        <v>316</v>
      </c>
      <c r="I40" t="s">
        <v>14</v>
      </c>
      <c r="J40" t="s">
        <v>33</v>
      </c>
      <c r="K40" t="s">
        <v>15</v>
      </c>
    </row>
    <row r="41" spans="1:11" x14ac:dyDescent="0.35">
      <c r="A41">
        <v>39</v>
      </c>
      <c r="B41" t="s">
        <v>81</v>
      </c>
      <c r="C41" t="s">
        <v>31</v>
      </c>
      <c r="D41" t="s">
        <v>76</v>
      </c>
      <c r="E41">
        <v>45346</v>
      </c>
      <c r="F41" s="1">
        <v>45351</v>
      </c>
      <c r="G41">
        <v>9</v>
      </c>
      <c r="H41">
        <v>169</v>
      </c>
      <c r="I41" t="s">
        <v>28</v>
      </c>
      <c r="J41" t="s">
        <v>547</v>
      </c>
      <c r="K41" t="s">
        <v>29</v>
      </c>
    </row>
    <row r="42" spans="1:11" x14ac:dyDescent="0.35">
      <c r="A42">
        <v>40</v>
      </c>
      <c r="B42" t="s">
        <v>82</v>
      </c>
      <c r="C42" t="s">
        <v>21</v>
      </c>
      <c r="D42" t="s">
        <v>83</v>
      </c>
      <c r="E42">
        <v>45396</v>
      </c>
      <c r="F42" s="1">
        <v>45410</v>
      </c>
      <c r="G42">
        <v>5</v>
      </c>
      <c r="H42">
        <v>527</v>
      </c>
      <c r="I42" t="s">
        <v>14</v>
      </c>
      <c r="J42" t="s">
        <v>550</v>
      </c>
      <c r="K42" t="s">
        <v>19</v>
      </c>
    </row>
    <row r="43" spans="1:11" x14ac:dyDescent="0.35">
      <c r="A43">
        <v>41</v>
      </c>
      <c r="B43" t="s">
        <v>84</v>
      </c>
      <c r="C43" t="s">
        <v>12</v>
      </c>
      <c r="D43" t="s">
        <v>27</v>
      </c>
      <c r="E43">
        <v>45433</v>
      </c>
      <c r="F43" s="1">
        <v>45437</v>
      </c>
      <c r="G43">
        <v>1</v>
      </c>
      <c r="H43">
        <v>13</v>
      </c>
      <c r="I43" t="s">
        <v>28</v>
      </c>
      <c r="J43" t="s">
        <v>547</v>
      </c>
      <c r="K43" t="s">
        <v>29</v>
      </c>
    </row>
    <row r="44" spans="1:11" x14ac:dyDescent="0.35">
      <c r="A44">
        <v>42</v>
      </c>
      <c r="B44" t="s">
        <v>85</v>
      </c>
      <c r="C44" t="s">
        <v>31</v>
      </c>
      <c r="D44" t="s">
        <v>42</v>
      </c>
      <c r="E44">
        <v>45518</v>
      </c>
      <c r="F44" s="1">
        <v>45525</v>
      </c>
      <c r="G44">
        <v>9</v>
      </c>
      <c r="H44">
        <v>732</v>
      </c>
      <c r="I44" t="s">
        <v>14</v>
      </c>
      <c r="J44" t="s">
        <v>550</v>
      </c>
      <c r="K44" t="s">
        <v>29</v>
      </c>
    </row>
    <row r="45" spans="1:11" x14ac:dyDescent="0.35">
      <c r="A45">
        <v>43</v>
      </c>
      <c r="B45" t="s">
        <v>86</v>
      </c>
      <c r="C45" t="s">
        <v>12</v>
      </c>
      <c r="D45" t="s">
        <v>13</v>
      </c>
      <c r="E45">
        <v>45645</v>
      </c>
      <c r="F45" s="1">
        <v>45651</v>
      </c>
      <c r="G45">
        <v>3</v>
      </c>
      <c r="H45">
        <v>568</v>
      </c>
      <c r="I45" t="s">
        <v>28</v>
      </c>
      <c r="J45" t="s">
        <v>551</v>
      </c>
      <c r="K45" t="s">
        <v>46</v>
      </c>
    </row>
    <row r="46" spans="1:11" x14ac:dyDescent="0.35">
      <c r="A46">
        <v>44</v>
      </c>
      <c r="B46" t="s">
        <v>87</v>
      </c>
      <c r="C46" t="s">
        <v>17</v>
      </c>
      <c r="D46" t="s">
        <v>64</v>
      </c>
      <c r="E46">
        <v>45512</v>
      </c>
      <c r="F46" s="1">
        <v>45516</v>
      </c>
      <c r="G46">
        <v>3</v>
      </c>
      <c r="H46">
        <v>52</v>
      </c>
      <c r="I46" t="s">
        <v>14</v>
      </c>
      <c r="J46" t="s">
        <v>547</v>
      </c>
      <c r="K46" t="s">
        <v>46</v>
      </c>
    </row>
    <row r="47" spans="1:11" x14ac:dyDescent="0.35">
      <c r="A47">
        <v>45</v>
      </c>
      <c r="B47" t="s">
        <v>88</v>
      </c>
      <c r="C47" t="s">
        <v>31</v>
      </c>
      <c r="D47" t="s">
        <v>42</v>
      </c>
      <c r="E47">
        <v>45641</v>
      </c>
      <c r="F47" s="1">
        <v>45652</v>
      </c>
      <c r="G47">
        <v>4</v>
      </c>
      <c r="H47">
        <v>692</v>
      </c>
      <c r="I47" t="s">
        <v>28</v>
      </c>
      <c r="J47" t="s">
        <v>551</v>
      </c>
      <c r="K47" t="s">
        <v>19</v>
      </c>
    </row>
    <row r="48" spans="1:11" x14ac:dyDescent="0.35">
      <c r="A48">
        <v>46</v>
      </c>
      <c r="B48" t="s">
        <v>89</v>
      </c>
      <c r="C48" t="s">
        <v>21</v>
      </c>
      <c r="D48" t="s">
        <v>40</v>
      </c>
      <c r="E48">
        <v>45487</v>
      </c>
      <c r="F48" s="1">
        <v>45495</v>
      </c>
      <c r="G48">
        <v>1</v>
      </c>
      <c r="H48">
        <v>889</v>
      </c>
      <c r="I48" t="s">
        <v>14</v>
      </c>
      <c r="J48" t="s">
        <v>550</v>
      </c>
      <c r="K48" t="s">
        <v>15</v>
      </c>
    </row>
    <row r="49" spans="1:11" x14ac:dyDescent="0.35">
      <c r="A49">
        <v>47</v>
      </c>
      <c r="B49" t="s">
        <v>90</v>
      </c>
      <c r="C49" t="s">
        <v>17</v>
      </c>
      <c r="D49" t="s">
        <v>56</v>
      </c>
      <c r="E49">
        <v>45306</v>
      </c>
      <c r="F49" s="1">
        <v>45309</v>
      </c>
      <c r="G49">
        <v>2</v>
      </c>
      <c r="H49">
        <v>908</v>
      </c>
      <c r="I49" t="s">
        <v>28</v>
      </c>
      <c r="J49" t="s">
        <v>547</v>
      </c>
      <c r="K49" t="s">
        <v>46</v>
      </c>
    </row>
    <row r="50" spans="1:11" x14ac:dyDescent="0.35">
      <c r="A50">
        <v>48</v>
      </c>
      <c r="B50" t="s">
        <v>91</v>
      </c>
      <c r="C50" t="s">
        <v>12</v>
      </c>
      <c r="D50" t="s">
        <v>27</v>
      </c>
      <c r="E50">
        <v>45292</v>
      </c>
      <c r="F50" s="1">
        <v>45306</v>
      </c>
      <c r="G50">
        <v>9</v>
      </c>
      <c r="H50">
        <v>957</v>
      </c>
      <c r="I50" t="s">
        <v>28</v>
      </c>
      <c r="J50" t="s">
        <v>549</v>
      </c>
      <c r="K50" t="s">
        <v>46</v>
      </c>
    </row>
    <row r="51" spans="1:11" x14ac:dyDescent="0.35">
      <c r="A51">
        <v>49</v>
      </c>
      <c r="B51" t="s">
        <v>92</v>
      </c>
      <c r="C51" t="s">
        <v>21</v>
      </c>
      <c r="D51" t="s">
        <v>83</v>
      </c>
      <c r="E51">
        <v>45512</v>
      </c>
      <c r="F51" s="1">
        <v>45519</v>
      </c>
      <c r="G51">
        <v>2</v>
      </c>
      <c r="H51">
        <v>981</v>
      </c>
      <c r="I51" t="s">
        <v>28</v>
      </c>
      <c r="J51" t="s">
        <v>33</v>
      </c>
      <c r="K51" t="s">
        <v>19</v>
      </c>
    </row>
    <row r="52" spans="1:11" x14ac:dyDescent="0.35">
      <c r="A52">
        <v>50</v>
      </c>
      <c r="B52" t="s">
        <v>93</v>
      </c>
      <c r="C52" t="s">
        <v>24</v>
      </c>
      <c r="D52" t="s">
        <v>25</v>
      </c>
      <c r="E52">
        <v>45575</v>
      </c>
      <c r="F52" s="1">
        <v>45578</v>
      </c>
      <c r="G52">
        <v>3</v>
      </c>
      <c r="H52">
        <v>206</v>
      </c>
      <c r="I52" t="s">
        <v>28</v>
      </c>
      <c r="J52" t="s">
        <v>550</v>
      </c>
      <c r="K52" t="s">
        <v>19</v>
      </c>
    </row>
    <row r="53" spans="1:11" x14ac:dyDescent="0.35">
      <c r="A53">
        <v>51</v>
      </c>
      <c r="B53" t="s">
        <v>94</v>
      </c>
      <c r="C53" t="s">
        <v>24</v>
      </c>
      <c r="D53" t="s">
        <v>38</v>
      </c>
      <c r="E53">
        <v>45637</v>
      </c>
      <c r="F53" s="1">
        <v>45647</v>
      </c>
      <c r="G53">
        <v>4</v>
      </c>
      <c r="H53">
        <v>533</v>
      </c>
      <c r="I53" t="s">
        <v>28</v>
      </c>
      <c r="J53" t="s">
        <v>550</v>
      </c>
      <c r="K53" t="s">
        <v>46</v>
      </c>
    </row>
    <row r="54" spans="1:11" x14ac:dyDescent="0.35">
      <c r="A54">
        <v>52</v>
      </c>
      <c r="B54" t="s">
        <v>95</v>
      </c>
      <c r="C54" t="s">
        <v>12</v>
      </c>
      <c r="D54" t="s">
        <v>96</v>
      </c>
      <c r="E54">
        <v>45555</v>
      </c>
      <c r="F54" s="1">
        <v>45562</v>
      </c>
      <c r="G54">
        <v>10</v>
      </c>
      <c r="H54">
        <v>353</v>
      </c>
      <c r="I54" t="s">
        <v>28</v>
      </c>
      <c r="J54" t="s">
        <v>551</v>
      </c>
      <c r="K54" t="s">
        <v>46</v>
      </c>
    </row>
    <row r="55" spans="1:11" x14ac:dyDescent="0.35">
      <c r="A55">
        <v>53</v>
      </c>
      <c r="B55" t="s">
        <v>97</v>
      </c>
      <c r="C55" t="s">
        <v>17</v>
      </c>
      <c r="D55" t="s">
        <v>18</v>
      </c>
      <c r="E55">
        <v>45525</v>
      </c>
      <c r="F55" s="1">
        <v>45536</v>
      </c>
      <c r="G55">
        <v>7</v>
      </c>
      <c r="H55">
        <v>917</v>
      </c>
      <c r="I55" t="s">
        <v>14</v>
      </c>
      <c r="J55" t="s">
        <v>33</v>
      </c>
      <c r="K55" t="s">
        <v>15</v>
      </c>
    </row>
    <row r="56" spans="1:11" x14ac:dyDescent="0.35">
      <c r="A56">
        <v>54</v>
      </c>
      <c r="B56" t="s">
        <v>98</v>
      </c>
      <c r="C56" t="s">
        <v>24</v>
      </c>
      <c r="D56" t="s">
        <v>38</v>
      </c>
      <c r="E56">
        <v>45496</v>
      </c>
      <c r="F56" s="1">
        <v>45502</v>
      </c>
      <c r="G56">
        <v>4</v>
      </c>
      <c r="H56">
        <v>161</v>
      </c>
      <c r="I56" t="s">
        <v>14</v>
      </c>
      <c r="J56" t="s">
        <v>33</v>
      </c>
      <c r="K56" t="s">
        <v>46</v>
      </c>
    </row>
    <row r="57" spans="1:11" x14ac:dyDescent="0.35">
      <c r="A57">
        <v>55</v>
      </c>
      <c r="B57" t="s">
        <v>99</v>
      </c>
      <c r="C57" t="s">
        <v>24</v>
      </c>
      <c r="D57" t="s">
        <v>100</v>
      </c>
      <c r="E57">
        <v>45382</v>
      </c>
      <c r="F57" s="1">
        <v>45387</v>
      </c>
      <c r="G57">
        <v>9</v>
      </c>
      <c r="H57">
        <v>485</v>
      </c>
      <c r="I57" t="s">
        <v>14</v>
      </c>
      <c r="J57" t="s">
        <v>551</v>
      </c>
      <c r="K57" t="s">
        <v>19</v>
      </c>
    </row>
    <row r="58" spans="1:11" x14ac:dyDescent="0.35">
      <c r="A58">
        <v>56</v>
      </c>
      <c r="B58" t="s">
        <v>101</v>
      </c>
      <c r="C58" t="s">
        <v>12</v>
      </c>
      <c r="D58" t="s">
        <v>27</v>
      </c>
      <c r="E58">
        <v>45360</v>
      </c>
      <c r="F58" s="1">
        <v>45364</v>
      </c>
      <c r="G58">
        <v>8</v>
      </c>
      <c r="H58">
        <v>693</v>
      </c>
      <c r="I58" t="s">
        <v>28</v>
      </c>
      <c r="J58" t="s">
        <v>33</v>
      </c>
      <c r="K58" t="s">
        <v>15</v>
      </c>
    </row>
    <row r="59" spans="1:11" x14ac:dyDescent="0.35">
      <c r="A59">
        <v>57</v>
      </c>
      <c r="B59" t="s">
        <v>102</v>
      </c>
      <c r="C59" t="s">
        <v>21</v>
      </c>
      <c r="D59" t="s">
        <v>22</v>
      </c>
      <c r="E59">
        <v>45522</v>
      </c>
      <c r="F59" s="1">
        <v>45532</v>
      </c>
      <c r="G59">
        <v>5</v>
      </c>
      <c r="H59">
        <v>779</v>
      </c>
      <c r="I59" t="s">
        <v>28</v>
      </c>
      <c r="J59" t="s">
        <v>551</v>
      </c>
      <c r="K59" t="s">
        <v>29</v>
      </c>
    </row>
    <row r="60" spans="1:11" x14ac:dyDescent="0.35">
      <c r="A60">
        <v>58</v>
      </c>
      <c r="B60" t="s">
        <v>103</v>
      </c>
      <c r="C60" t="s">
        <v>24</v>
      </c>
      <c r="D60" t="s">
        <v>100</v>
      </c>
      <c r="E60">
        <v>45432</v>
      </c>
      <c r="F60" s="1">
        <v>45443</v>
      </c>
      <c r="G60">
        <v>8</v>
      </c>
      <c r="H60">
        <v>89</v>
      </c>
      <c r="I60" t="s">
        <v>14</v>
      </c>
      <c r="J60" t="s">
        <v>33</v>
      </c>
      <c r="K60" t="s">
        <v>19</v>
      </c>
    </row>
    <row r="61" spans="1:11" x14ac:dyDescent="0.35">
      <c r="A61">
        <v>59</v>
      </c>
      <c r="B61" t="s">
        <v>104</v>
      </c>
      <c r="C61" t="s">
        <v>31</v>
      </c>
      <c r="D61" t="s">
        <v>79</v>
      </c>
      <c r="E61">
        <v>45455</v>
      </c>
      <c r="F61" s="1">
        <v>45459</v>
      </c>
      <c r="G61">
        <v>9</v>
      </c>
      <c r="H61">
        <v>92</v>
      </c>
      <c r="I61" t="s">
        <v>14</v>
      </c>
      <c r="J61" t="s">
        <v>551</v>
      </c>
      <c r="K61" t="s">
        <v>19</v>
      </c>
    </row>
    <row r="62" spans="1:11" x14ac:dyDescent="0.35">
      <c r="A62">
        <v>60</v>
      </c>
      <c r="B62" t="s">
        <v>105</v>
      </c>
      <c r="C62" t="s">
        <v>21</v>
      </c>
      <c r="D62" t="s">
        <v>83</v>
      </c>
      <c r="E62">
        <v>45515</v>
      </c>
      <c r="F62" s="1">
        <v>45529</v>
      </c>
      <c r="G62">
        <v>8</v>
      </c>
      <c r="H62">
        <v>39</v>
      </c>
      <c r="I62" t="s">
        <v>28</v>
      </c>
      <c r="J62" t="s">
        <v>550</v>
      </c>
      <c r="K62" t="s">
        <v>19</v>
      </c>
    </row>
    <row r="63" spans="1:11" x14ac:dyDescent="0.35">
      <c r="A63">
        <v>61</v>
      </c>
      <c r="B63" t="s">
        <v>106</v>
      </c>
      <c r="C63" t="s">
        <v>17</v>
      </c>
      <c r="D63" t="s">
        <v>60</v>
      </c>
      <c r="E63">
        <v>45631</v>
      </c>
      <c r="F63" s="1">
        <v>45638</v>
      </c>
      <c r="G63">
        <v>1</v>
      </c>
      <c r="H63">
        <v>95</v>
      </c>
      <c r="I63" t="s">
        <v>14</v>
      </c>
      <c r="J63" t="s">
        <v>33</v>
      </c>
      <c r="K63" t="s">
        <v>15</v>
      </c>
    </row>
    <row r="64" spans="1:11" x14ac:dyDescent="0.35">
      <c r="A64">
        <v>62</v>
      </c>
      <c r="B64" t="s">
        <v>107</v>
      </c>
      <c r="C64" t="s">
        <v>12</v>
      </c>
      <c r="D64" t="s">
        <v>27</v>
      </c>
      <c r="E64">
        <v>45301</v>
      </c>
      <c r="F64" s="1">
        <v>45305</v>
      </c>
      <c r="G64">
        <v>9</v>
      </c>
      <c r="H64">
        <v>63</v>
      </c>
      <c r="I64" t="s">
        <v>28</v>
      </c>
      <c r="J64" t="s">
        <v>547</v>
      </c>
      <c r="K64" t="s">
        <v>15</v>
      </c>
    </row>
    <row r="65" spans="1:11" x14ac:dyDescent="0.35">
      <c r="A65">
        <v>63</v>
      </c>
      <c r="B65" t="s">
        <v>108</v>
      </c>
      <c r="C65" t="s">
        <v>12</v>
      </c>
      <c r="D65" t="s">
        <v>13</v>
      </c>
      <c r="E65">
        <v>45307</v>
      </c>
      <c r="F65" s="1">
        <v>45320</v>
      </c>
      <c r="G65">
        <v>4</v>
      </c>
      <c r="H65">
        <v>214</v>
      </c>
      <c r="I65" t="s">
        <v>28</v>
      </c>
      <c r="J65" t="s">
        <v>549</v>
      </c>
      <c r="K65" t="s">
        <v>15</v>
      </c>
    </row>
    <row r="66" spans="1:11" x14ac:dyDescent="0.35">
      <c r="A66">
        <v>64</v>
      </c>
      <c r="B66" t="s">
        <v>109</v>
      </c>
      <c r="C66" t="s">
        <v>21</v>
      </c>
      <c r="D66" t="s">
        <v>54</v>
      </c>
      <c r="E66">
        <v>45356</v>
      </c>
      <c r="F66" s="1">
        <v>45365</v>
      </c>
      <c r="G66">
        <v>8</v>
      </c>
      <c r="H66">
        <v>695</v>
      </c>
      <c r="I66" t="s">
        <v>14</v>
      </c>
      <c r="J66" t="s">
        <v>551</v>
      </c>
      <c r="K66" t="s">
        <v>19</v>
      </c>
    </row>
    <row r="67" spans="1:11" x14ac:dyDescent="0.35">
      <c r="A67">
        <v>65</v>
      </c>
      <c r="B67" t="s">
        <v>110</v>
      </c>
      <c r="C67" t="s">
        <v>24</v>
      </c>
      <c r="D67" t="s">
        <v>25</v>
      </c>
      <c r="E67">
        <v>45480</v>
      </c>
      <c r="F67" s="1">
        <v>45488</v>
      </c>
      <c r="G67">
        <v>3</v>
      </c>
      <c r="H67">
        <v>630</v>
      </c>
      <c r="I67" t="s">
        <v>14</v>
      </c>
      <c r="J67" t="s">
        <v>33</v>
      </c>
      <c r="K67" t="s">
        <v>15</v>
      </c>
    </row>
    <row r="68" spans="1:11" x14ac:dyDescent="0.35">
      <c r="A68">
        <v>66</v>
      </c>
      <c r="B68" t="s">
        <v>111</v>
      </c>
      <c r="C68" t="s">
        <v>31</v>
      </c>
      <c r="D68" t="s">
        <v>76</v>
      </c>
      <c r="E68">
        <v>45588</v>
      </c>
      <c r="F68" s="1">
        <v>45600</v>
      </c>
      <c r="G68">
        <v>1</v>
      </c>
      <c r="H68">
        <v>961</v>
      </c>
      <c r="I68" t="s">
        <v>28</v>
      </c>
      <c r="J68" t="s">
        <v>547</v>
      </c>
      <c r="K68" t="s">
        <v>15</v>
      </c>
    </row>
    <row r="69" spans="1:11" x14ac:dyDescent="0.35">
      <c r="A69">
        <v>67</v>
      </c>
      <c r="B69" t="s">
        <v>112</v>
      </c>
      <c r="C69" t="s">
        <v>24</v>
      </c>
      <c r="D69" t="s">
        <v>38</v>
      </c>
      <c r="E69">
        <v>45393</v>
      </c>
      <c r="F69" s="1">
        <v>45406</v>
      </c>
      <c r="G69">
        <v>2</v>
      </c>
      <c r="H69">
        <v>616</v>
      </c>
      <c r="I69" t="s">
        <v>14</v>
      </c>
      <c r="J69" t="s">
        <v>33</v>
      </c>
      <c r="K69" t="s">
        <v>15</v>
      </c>
    </row>
    <row r="70" spans="1:11" x14ac:dyDescent="0.35">
      <c r="A70">
        <v>68</v>
      </c>
      <c r="B70" t="s">
        <v>113</v>
      </c>
      <c r="C70" t="s">
        <v>31</v>
      </c>
      <c r="D70" t="s">
        <v>32</v>
      </c>
      <c r="E70">
        <v>45353</v>
      </c>
      <c r="F70" s="1">
        <v>45364</v>
      </c>
      <c r="G70">
        <v>10</v>
      </c>
      <c r="H70">
        <v>811</v>
      </c>
      <c r="I70" t="s">
        <v>28</v>
      </c>
      <c r="J70" t="s">
        <v>551</v>
      </c>
      <c r="K70" t="s">
        <v>15</v>
      </c>
    </row>
    <row r="71" spans="1:11" x14ac:dyDescent="0.35">
      <c r="A71">
        <v>69</v>
      </c>
      <c r="B71" t="s">
        <v>114</v>
      </c>
      <c r="C71" t="s">
        <v>24</v>
      </c>
      <c r="D71" t="s">
        <v>115</v>
      </c>
      <c r="E71">
        <v>45513</v>
      </c>
      <c r="F71" s="1">
        <v>45519</v>
      </c>
      <c r="G71">
        <v>6</v>
      </c>
      <c r="H71">
        <v>660</v>
      </c>
      <c r="I71" t="s">
        <v>28</v>
      </c>
      <c r="J71" t="s">
        <v>549</v>
      </c>
      <c r="K71" t="s">
        <v>19</v>
      </c>
    </row>
    <row r="72" spans="1:11" x14ac:dyDescent="0.35">
      <c r="A72">
        <v>70</v>
      </c>
      <c r="B72" t="s">
        <v>116</v>
      </c>
      <c r="C72" t="s">
        <v>21</v>
      </c>
      <c r="D72" t="s">
        <v>22</v>
      </c>
      <c r="E72">
        <v>45382</v>
      </c>
      <c r="F72" s="1">
        <v>45395</v>
      </c>
      <c r="G72">
        <v>9</v>
      </c>
      <c r="H72">
        <v>998</v>
      </c>
      <c r="I72" t="s">
        <v>28</v>
      </c>
      <c r="J72" t="s">
        <v>33</v>
      </c>
      <c r="K72" t="s">
        <v>29</v>
      </c>
    </row>
    <row r="73" spans="1:11" x14ac:dyDescent="0.35">
      <c r="A73">
        <v>71</v>
      </c>
      <c r="B73" t="s">
        <v>117</v>
      </c>
      <c r="C73" t="s">
        <v>17</v>
      </c>
      <c r="D73" t="s">
        <v>56</v>
      </c>
      <c r="E73">
        <v>45576</v>
      </c>
      <c r="F73" s="1">
        <v>45582</v>
      </c>
      <c r="G73">
        <v>1</v>
      </c>
      <c r="H73">
        <v>539</v>
      </c>
      <c r="I73" t="s">
        <v>14</v>
      </c>
      <c r="J73" t="s">
        <v>551</v>
      </c>
      <c r="K73" t="s">
        <v>46</v>
      </c>
    </row>
    <row r="74" spans="1:11" x14ac:dyDescent="0.35">
      <c r="A74">
        <v>72</v>
      </c>
      <c r="B74" t="s">
        <v>118</v>
      </c>
      <c r="C74" t="s">
        <v>17</v>
      </c>
      <c r="D74" t="s">
        <v>56</v>
      </c>
      <c r="E74">
        <v>45534</v>
      </c>
      <c r="F74" s="1">
        <v>45547</v>
      </c>
      <c r="G74">
        <v>9</v>
      </c>
      <c r="H74">
        <v>553</v>
      </c>
      <c r="I74" t="s">
        <v>28</v>
      </c>
      <c r="J74" t="s">
        <v>547</v>
      </c>
      <c r="K74" t="s">
        <v>46</v>
      </c>
    </row>
    <row r="75" spans="1:11" x14ac:dyDescent="0.35">
      <c r="A75">
        <v>73</v>
      </c>
      <c r="B75" t="s">
        <v>119</v>
      </c>
      <c r="C75" t="s">
        <v>17</v>
      </c>
      <c r="D75" t="s">
        <v>56</v>
      </c>
      <c r="E75">
        <v>45472</v>
      </c>
      <c r="F75" s="1">
        <v>45486</v>
      </c>
      <c r="G75">
        <v>8</v>
      </c>
      <c r="H75">
        <v>287</v>
      </c>
      <c r="I75" t="s">
        <v>14</v>
      </c>
      <c r="J75" t="s">
        <v>547</v>
      </c>
      <c r="K75" t="s">
        <v>29</v>
      </c>
    </row>
    <row r="76" spans="1:11" x14ac:dyDescent="0.35">
      <c r="A76">
        <v>74</v>
      </c>
      <c r="B76" t="s">
        <v>120</v>
      </c>
      <c r="C76" t="s">
        <v>12</v>
      </c>
      <c r="D76" t="s">
        <v>58</v>
      </c>
      <c r="E76">
        <v>45453</v>
      </c>
      <c r="F76" s="1">
        <v>45462</v>
      </c>
      <c r="G76">
        <v>2</v>
      </c>
      <c r="H76">
        <v>770</v>
      </c>
      <c r="I76" t="s">
        <v>14</v>
      </c>
      <c r="J76" t="s">
        <v>33</v>
      </c>
      <c r="K76" t="s">
        <v>46</v>
      </c>
    </row>
    <row r="77" spans="1:11" x14ac:dyDescent="0.35">
      <c r="A77">
        <v>75</v>
      </c>
      <c r="B77" t="s">
        <v>121</v>
      </c>
      <c r="C77" t="s">
        <v>12</v>
      </c>
      <c r="D77" t="s">
        <v>58</v>
      </c>
      <c r="E77">
        <v>45443</v>
      </c>
      <c r="F77" s="1">
        <v>45457</v>
      </c>
      <c r="G77">
        <v>4</v>
      </c>
      <c r="H77">
        <v>379</v>
      </c>
      <c r="I77" t="s">
        <v>14</v>
      </c>
      <c r="J77" t="s">
        <v>551</v>
      </c>
      <c r="K77" t="s">
        <v>29</v>
      </c>
    </row>
    <row r="78" spans="1:11" x14ac:dyDescent="0.35">
      <c r="A78">
        <v>76</v>
      </c>
      <c r="B78" t="s">
        <v>122</v>
      </c>
      <c r="C78" t="s">
        <v>17</v>
      </c>
      <c r="D78" t="s">
        <v>64</v>
      </c>
      <c r="E78">
        <v>45432</v>
      </c>
      <c r="F78" s="1">
        <v>45438</v>
      </c>
      <c r="G78">
        <v>1</v>
      </c>
      <c r="H78">
        <v>65</v>
      </c>
      <c r="I78" t="s">
        <v>28</v>
      </c>
      <c r="J78" t="s">
        <v>33</v>
      </c>
      <c r="K78" t="s">
        <v>29</v>
      </c>
    </row>
    <row r="79" spans="1:11" x14ac:dyDescent="0.35">
      <c r="A79">
        <v>77</v>
      </c>
      <c r="B79" t="s">
        <v>123</v>
      </c>
      <c r="C79" t="s">
        <v>24</v>
      </c>
      <c r="D79" t="s">
        <v>25</v>
      </c>
      <c r="E79">
        <v>45386</v>
      </c>
      <c r="F79" s="1">
        <v>45397</v>
      </c>
      <c r="G79">
        <v>1</v>
      </c>
      <c r="H79">
        <v>268</v>
      </c>
      <c r="I79" t="s">
        <v>14</v>
      </c>
      <c r="J79" t="s">
        <v>549</v>
      </c>
      <c r="K79" t="s">
        <v>15</v>
      </c>
    </row>
    <row r="80" spans="1:11" x14ac:dyDescent="0.35">
      <c r="A80">
        <v>78</v>
      </c>
      <c r="B80" t="s">
        <v>124</v>
      </c>
      <c r="C80" t="s">
        <v>12</v>
      </c>
      <c r="D80" t="s">
        <v>27</v>
      </c>
      <c r="E80">
        <v>45543</v>
      </c>
      <c r="F80" s="1">
        <v>45556</v>
      </c>
      <c r="G80">
        <v>2</v>
      </c>
      <c r="H80">
        <v>600</v>
      </c>
      <c r="I80" t="s">
        <v>14</v>
      </c>
      <c r="J80" t="s">
        <v>33</v>
      </c>
      <c r="K80" t="s">
        <v>29</v>
      </c>
    </row>
    <row r="81" spans="1:11" x14ac:dyDescent="0.35">
      <c r="A81">
        <v>79</v>
      </c>
      <c r="B81" t="s">
        <v>125</v>
      </c>
      <c r="C81" t="s">
        <v>24</v>
      </c>
      <c r="D81" t="s">
        <v>25</v>
      </c>
      <c r="E81">
        <v>45593</v>
      </c>
      <c r="F81" s="1">
        <v>45600</v>
      </c>
      <c r="G81">
        <v>7</v>
      </c>
      <c r="H81">
        <v>322</v>
      </c>
      <c r="I81" t="s">
        <v>14</v>
      </c>
      <c r="J81" t="s">
        <v>33</v>
      </c>
      <c r="K81" t="s">
        <v>29</v>
      </c>
    </row>
    <row r="82" spans="1:11" x14ac:dyDescent="0.35">
      <c r="A82">
        <v>80</v>
      </c>
      <c r="B82" t="s">
        <v>126</v>
      </c>
      <c r="C82" t="s">
        <v>17</v>
      </c>
      <c r="D82" t="s">
        <v>18</v>
      </c>
      <c r="E82">
        <v>45398</v>
      </c>
      <c r="F82" s="1">
        <v>45404</v>
      </c>
      <c r="G82">
        <v>4</v>
      </c>
      <c r="H82">
        <v>280</v>
      </c>
      <c r="I82" t="s">
        <v>14</v>
      </c>
      <c r="J82" t="s">
        <v>33</v>
      </c>
      <c r="K82" t="s">
        <v>19</v>
      </c>
    </row>
    <row r="83" spans="1:11" x14ac:dyDescent="0.35">
      <c r="A83">
        <v>81</v>
      </c>
      <c r="B83" t="s">
        <v>127</v>
      </c>
      <c r="C83" t="s">
        <v>17</v>
      </c>
      <c r="D83" t="s">
        <v>44</v>
      </c>
      <c r="E83">
        <v>45441</v>
      </c>
      <c r="F83" s="1">
        <v>45455</v>
      </c>
      <c r="G83">
        <v>1</v>
      </c>
      <c r="H83">
        <v>247</v>
      </c>
      <c r="I83" t="s">
        <v>28</v>
      </c>
      <c r="J83" t="s">
        <v>547</v>
      </c>
      <c r="K83" t="s">
        <v>29</v>
      </c>
    </row>
    <row r="84" spans="1:11" x14ac:dyDescent="0.35">
      <c r="A84">
        <v>82</v>
      </c>
      <c r="B84" t="s">
        <v>128</v>
      </c>
      <c r="C84" t="s">
        <v>24</v>
      </c>
      <c r="D84" t="s">
        <v>115</v>
      </c>
      <c r="E84">
        <v>45643</v>
      </c>
      <c r="F84" s="1">
        <v>45656</v>
      </c>
      <c r="G84">
        <v>4</v>
      </c>
      <c r="H84">
        <v>956</v>
      </c>
      <c r="I84" t="s">
        <v>28</v>
      </c>
      <c r="J84" t="s">
        <v>547</v>
      </c>
      <c r="K84" t="s">
        <v>19</v>
      </c>
    </row>
    <row r="85" spans="1:11" x14ac:dyDescent="0.35">
      <c r="A85">
        <v>83</v>
      </c>
      <c r="B85" t="s">
        <v>129</v>
      </c>
      <c r="C85" t="s">
        <v>21</v>
      </c>
      <c r="D85" t="s">
        <v>40</v>
      </c>
      <c r="E85">
        <v>45322</v>
      </c>
      <c r="F85" s="1">
        <v>45336</v>
      </c>
      <c r="G85">
        <v>3</v>
      </c>
      <c r="H85">
        <v>821</v>
      </c>
      <c r="I85" t="s">
        <v>28</v>
      </c>
      <c r="J85" t="s">
        <v>547</v>
      </c>
      <c r="K85" t="s">
        <v>15</v>
      </c>
    </row>
    <row r="86" spans="1:11" x14ac:dyDescent="0.35">
      <c r="A86">
        <v>84</v>
      </c>
      <c r="B86" t="s">
        <v>130</v>
      </c>
      <c r="C86" t="s">
        <v>17</v>
      </c>
      <c r="D86" t="s">
        <v>56</v>
      </c>
      <c r="E86">
        <v>45516</v>
      </c>
      <c r="F86" s="1">
        <v>45521</v>
      </c>
      <c r="G86">
        <v>2</v>
      </c>
      <c r="H86">
        <v>489</v>
      </c>
      <c r="I86" t="s">
        <v>28</v>
      </c>
      <c r="J86" t="s">
        <v>33</v>
      </c>
      <c r="K86" t="s">
        <v>29</v>
      </c>
    </row>
    <row r="87" spans="1:11" x14ac:dyDescent="0.35">
      <c r="A87">
        <v>85</v>
      </c>
      <c r="B87" t="s">
        <v>131</v>
      </c>
      <c r="C87" t="s">
        <v>24</v>
      </c>
      <c r="D87" t="s">
        <v>25</v>
      </c>
      <c r="E87">
        <v>45548</v>
      </c>
      <c r="F87" s="1">
        <v>45560</v>
      </c>
      <c r="G87">
        <v>9</v>
      </c>
      <c r="H87">
        <v>515</v>
      </c>
      <c r="I87" t="s">
        <v>28</v>
      </c>
      <c r="J87" t="s">
        <v>550</v>
      </c>
      <c r="K87" t="s">
        <v>15</v>
      </c>
    </row>
    <row r="88" spans="1:11" x14ac:dyDescent="0.35">
      <c r="A88">
        <v>86</v>
      </c>
      <c r="B88" t="s">
        <v>132</v>
      </c>
      <c r="C88" t="s">
        <v>12</v>
      </c>
      <c r="D88" t="s">
        <v>27</v>
      </c>
      <c r="E88">
        <v>45457</v>
      </c>
      <c r="F88" s="1">
        <v>45462</v>
      </c>
      <c r="G88">
        <v>10</v>
      </c>
      <c r="H88">
        <v>266</v>
      </c>
      <c r="I88" t="s">
        <v>14</v>
      </c>
      <c r="J88" t="s">
        <v>551</v>
      </c>
      <c r="K88" t="s">
        <v>15</v>
      </c>
    </row>
    <row r="89" spans="1:11" x14ac:dyDescent="0.35">
      <c r="A89">
        <v>87</v>
      </c>
      <c r="B89" t="s">
        <v>133</v>
      </c>
      <c r="C89" t="s">
        <v>17</v>
      </c>
      <c r="D89" t="s">
        <v>44</v>
      </c>
      <c r="E89">
        <v>45434</v>
      </c>
      <c r="F89" s="1">
        <v>45444</v>
      </c>
      <c r="G89">
        <v>3</v>
      </c>
      <c r="H89">
        <v>609</v>
      </c>
      <c r="I89" t="s">
        <v>14</v>
      </c>
      <c r="J89" t="s">
        <v>550</v>
      </c>
      <c r="K89" t="s">
        <v>15</v>
      </c>
    </row>
    <row r="90" spans="1:11" x14ac:dyDescent="0.35">
      <c r="A90">
        <v>88</v>
      </c>
      <c r="B90" t="s">
        <v>134</v>
      </c>
      <c r="C90" t="s">
        <v>24</v>
      </c>
      <c r="D90" t="s">
        <v>25</v>
      </c>
      <c r="E90">
        <v>45501</v>
      </c>
      <c r="F90" s="1">
        <v>45505</v>
      </c>
      <c r="G90">
        <v>6</v>
      </c>
      <c r="H90">
        <v>338</v>
      </c>
      <c r="I90" t="s">
        <v>14</v>
      </c>
      <c r="J90" t="s">
        <v>33</v>
      </c>
      <c r="K90" t="s">
        <v>15</v>
      </c>
    </row>
    <row r="91" spans="1:11" x14ac:dyDescent="0.35">
      <c r="A91">
        <v>89</v>
      </c>
      <c r="B91" t="s">
        <v>135</v>
      </c>
      <c r="C91" t="s">
        <v>31</v>
      </c>
      <c r="D91" t="s">
        <v>50</v>
      </c>
      <c r="E91">
        <v>45647</v>
      </c>
      <c r="F91" s="1">
        <v>45650</v>
      </c>
      <c r="G91">
        <v>8</v>
      </c>
      <c r="H91">
        <v>305</v>
      </c>
      <c r="I91" t="s">
        <v>28</v>
      </c>
      <c r="J91" t="s">
        <v>33</v>
      </c>
      <c r="K91" t="s">
        <v>19</v>
      </c>
    </row>
    <row r="92" spans="1:11" x14ac:dyDescent="0.35">
      <c r="A92">
        <v>90</v>
      </c>
      <c r="B92" t="s">
        <v>136</v>
      </c>
      <c r="C92" t="s">
        <v>17</v>
      </c>
      <c r="D92" t="s">
        <v>18</v>
      </c>
      <c r="E92">
        <v>45628</v>
      </c>
      <c r="F92" s="1">
        <v>45641</v>
      </c>
      <c r="G92">
        <v>9</v>
      </c>
      <c r="H92">
        <v>483</v>
      </c>
      <c r="I92" t="s">
        <v>14</v>
      </c>
      <c r="J92" t="s">
        <v>550</v>
      </c>
      <c r="K92" t="s">
        <v>19</v>
      </c>
    </row>
    <row r="93" spans="1:11" x14ac:dyDescent="0.35">
      <c r="A93">
        <v>91</v>
      </c>
      <c r="B93" t="s">
        <v>137</v>
      </c>
      <c r="C93" t="s">
        <v>17</v>
      </c>
      <c r="D93" t="s">
        <v>56</v>
      </c>
      <c r="E93">
        <v>45610</v>
      </c>
      <c r="F93" s="1">
        <v>45614</v>
      </c>
      <c r="G93">
        <v>8</v>
      </c>
      <c r="H93">
        <v>650</v>
      </c>
      <c r="I93" t="s">
        <v>14</v>
      </c>
      <c r="J93" t="s">
        <v>550</v>
      </c>
      <c r="K93" t="s">
        <v>29</v>
      </c>
    </row>
    <row r="94" spans="1:11" x14ac:dyDescent="0.35">
      <c r="A94">
        <v>92</v>
      </c>
      <c r="B94" t="s">
        <v>138</v>
      </c>
      <c r="C94" t="s">
        <v>31</v>
      </c>
      <c r="D94" t="s">
        <v>32</v>
      </c>
      <c r="E94">
        <v>45359</v>
      </c>
      <c r="F94" s="1">
        <v>45373</v>
      </c>
      <c r="G94">
        <v>5</v>
      </c>
      <c r="H94">
        <v>458</v>
      </c>
      <c r="I94" t="s">
        <v>14</v>
      </c>
      <c r="J94" t="s">
        <v>33</v>
      </c>
      <c r="K94" t="s">
        <v>15</v>
      </c>
    </row>
    <row r="95" spans="1:11" x14ac:dyDescent="0.35">
      <c r="A95">
        <v>93</v>
      </c>
      <c r="B95" t="s">
        <v>139</v>
      </c>
      <c r="C95" t="s">
        <v>12</v>
      </c>
      <c r="D95" t="s">
        <v>36</v>
      </c>
      <c r="E95">
        <v>45414</v>
      </c>
      <c r="F95" s="1">
        <v>45425</v>
      </c>
      <c r="G95">
        <v>3</v>
      </c>
      <c r="H95">
        <v>328</v>
      </c>
      <c r="I95" t="s">
        <v>28</v>
      </c>
      <c r="J95" t="s">
        <v>33</v>
      </c>
      <c r="K95" t="s">
        <v>15</v>
      </c>
    </row>
    <row r="96" spans="1:11" x14ac:dyDescent="0.35">
      <c r="A96">
        <v>94</v>
      </c>
      <c r="B96" t="s">
        <v>140</v>
      </c>
      <c r="C96" t="s">
        <v>21</v>
      </c>
      <c r="D96" t="s">
        <v>22</v>
      </c>
      <c r="E96">
        <v>45574</v>
      </c>
      <c r="F96" s="1">
        <v>45581</v>
      </c>
      <c r="G96">
        <v>3</v>
      </c>
      <c r="H96">
        <v>402</v>
      </c>
      <c r="I96" t="s">
        <v>28</v>
      </c>
      <c r="J96" t="s">
        <v>551</v>
      </c>
      <c r="K96" t="s">
        <v>46</v>
      </c>
    </row>
    <row r="97" spans="1:11" x14ac:dyDescent="0.35">
      <c r="A97">
        <v>95</v>
      </c>
      <c r="B97" t="s">
        <v>141</v>
      </c>
      <c r="C97" t="s">
        <v>12</v>
      </c>
      <c r="D97" t="s">
        <v>96</v>
      </c>
      <c r="E97">
        <v>45444</v>
      </c>
      <c r="F97" s="1">
        <v>45456</v>
      </c>
      <c r="G97">
        <v>10</v>
      </c>
      <c r="H97">
        <v>603</v>
      </c>
      <c r="I97" t="s">
        <v>14</v>
      </c>
      <c r="J97" t="s">
        <v>33</v>
      </c>
      <c r="K97" t="s">
        <v>46</v>
      </c>
    </row>
    <row r="98" spans="1:11" x14ac:dyDescent="0.35">
      <c r="A98">
        <v>96</v>
      </c>
      <c r="B98" t="s">
        <v>142</v>
      </c>
      <c r="C98" t="s">
        <v>12</v>
      </c>
      <c r="D98" t="s">
        <v>36</v>
      </c>
      <c r="E98">
        <v>45525</v>
      </c>
      <c r="F98" s="1">
        <v>45537</v>
      </c>
      <c r="G98">
        <v>1</v>
      </c>
      <c r="H98">
        <v>749</v>
      </c>
      <c r="I98" t="s">
        <v>28</v>
      </c>
      <c r="J98" t="s">
        <v>551</v>
      </c>
      <c r="K98" t="s">
        <v>15</v>
      </c>
    </row>
    <row r="99" spans="1:11" x14ac:dyDescent="0.35">
      <c r="A99">
        <v>97</v>
      </c>
      <c r="B99" t="s">
        <v>143</v>
      </c>
      <c r="C99" t="s">
        <v>21</v>
      </c>
      <c r="D99" t="s">
        <v>40</v>
      </c>
      <c r="E99">
        <v>45532</v>
      </c>
      <c r="F99" s="1">
        <v>45539</v>
      </c>
      <c r="G99">
        <v>5</v>
      </c>
      <c r="H99">
        <v>356</v>
      </c>
      <c r="I99" t="s">
        <v>28</v>
      </c>
      <c r="J99" t="s">
        <v>33</v>
      </c>
      <c r="K99" t="s">
        <v>15</v>
      </c>
    </row>
    <row r="100" spans="1:11" x14ac:dyDescent="0.35">
      <c r="A100">
        <v>98</v>
      </c>
      <c r="B100" t="s">
        <v>144</v>
      </c>
      <c r="C100" t="s">
        <v>12</v>
      </c>
      <c r="D100" t="s">
        <v>96</v>
      </c>
      <c r="E100">
        <v>45637</v>
      </c>
      <c r="F100" s="1">
        <v>45649</v>
      </c>
      <c r="G100">
        <v>9</v>
      </c>
      <c r="H100">
        <v>399</v>
      </c>
      <c r="I100" t="s">
        <v>28</v>
      </c>
      <c r="J100" t="s">
        <v>547</v>
      </c>
      <c r="K100" t="s">
        <v>15</v>
      </c>
    </row>
    <row r="101" spans="1:11" x14ac:dyDescent="0.35">
      <c r="A101">
        <v>99</v>
      </c>
      <c r="B101" t="s">
        <v>145</v>
      </c>
      <c r="C101" t="s">
        <v>12</v>
      </c>
      <c r="D101" t="s">
        <v>36</v>
      </c>
      <c r="E101">
        <v>45327</v>
      </c>
      <c r="F101" s="1">
        <v>45331</v>
      </c>
      <c r="G101">
        <v>4</v>
      </c>
      <c r="H101">
        <v>656</v>
      </c>
      <c r="I101" t="s">
        <v>14</v>
      </c>
      <c r="J101" t="s">
        <v>33</v>
      </c>
      <c r="K101" t="s">
        <v>29</v>
      </c>
    </row>
    <row r="102" spans="1:11" x14ac:dyDescent="0.35">
      <c r="A102">
        <v>100</v>
      </c>
      <c r="B102" t="s">
        <v>146</v>
      </c>
      <c r="C102" t="s">
        <v>12</v>
      </c>
      <c r="D102" t="s">
        <v>27</v>
      </c>
      <c r="E102">
        <v>45342</v>
      </c>
      <c r="F102" s="1">
        <v>45346</v>
      </c>
      <c r="G102">
        <v>2</v>
      </c>
      <c r="H102">
        <v>464</v>
      </c>
      <c r="I102" t="s">
        <v>14</v>
      </c>
      <c r="J102" t="s">
        <v>551</v>
      </c>
      <c r="K102" t="s">
        <v>19</v>
      </c>
    </row>
    <row r="103" spans="1:11" x14ac:dyDescent="0.35">
      <c r="A103">
        <v>101</v>
      </c>
      <c r="B103" t="s">
        <v>147</v>
      </c>
      <c r="C103" t="s">
        <v>12</v>
      </c>
      <c r="D103" t="s">
        <v>96</v>
      </c>
      <c r="E103">
        <v>45320</v>
      </c>
      <c r="F103" s="1">
        <v>45327</v>
      </c>
      <c r="G103">
        <v>5</v>
      </c>
      <c r="H103">
        <v>377</v>
      </c>
      <c r="I103" t="s">
        <v>14</v>
      </c>
      <c r="J103" t="s">
        <v>547</v>
      </c>
      <c r="K103" t="s">
        <v>19</v>
      </c>
    </row>
    <row r="104" spans="1:11" x14ac:dyDescent="0.35">
      <c r="A104">
        <v>102</v>
      </c>
      <c r="B104" t="s">
        <v>148</v>
      </c>
      <c r="C104" t="s">
        <v>21</v>
      </c>
      <c r="D104" t="s">
        <v>52</v>
      </c>
      <c r="E104">
        <v>45502</v>
      </c>
      <c r="F104" s="1">
        <v>45513</v>
      </c>
      <c r="G104">
        <v>10</v>
      </c>
      <c r="H104">
        <v>708</v>
      </c>
      <c r="I104" t="s">
        <v>14</v>
      </c>
      <c r="J104" t="s">
        <v>549</v>
      </c>
      <c r="K104" t="s">
        <v>29</v>
      </c>
    </row>
    <row r="105" spans="1:11" x14ac:dyDescent="0.35">
      <c r="A105">
        <v>103</v>
      </c>
      <c r="B105" t="s">
        <v>149</v>
      </c>
      <c r="C105" t="s">
        <v>21</v>
      </c>
      <c r="D105" t="s">
        <v>40</v>
      </c>
      <c r="E105">
        <v>45613</v>
      </c>
      <c r="F105" s="1">
        <v>45619</v>
      </c>
      <c r="G105">
        <v>1</v>
      </c>
      <c r="H105">
        <v>326</v>
      </c>
      <c r="I105" t="s">
        <v>14</v>
      </c>
      <c r="J105" t="s">
        <v>549</v>
      </c>
      <c r="K105" t="s">
        <v>46</v>
      </c>
    </row>
    <row r="106" spans="1:11" x14ac:dyDescent="0.35">
      <c r="A106">
        <v>104</v>
      </c>
      <c r="B106" t="s">
        <v>150</v>
      </c>
      <c r="C106" t="s">
        <v>17</v>
      </c>
      <c r="D106" t="s">
        <v>56</v>
      </c>
      <c r="E106">
        <v>45359</v>
      </c>
      <c r="F106" s="1">
        <v>45369</v>
      </c>
      <c r="G106">
        <v>2</v>
      </c>
      <c r="H106">
        <v>941</v>
      </c>
      <c r="I106" t="s">
        <v>28</v>
      </c>
      <c r="J106" t="s">
        <v>547</v>
      </c>
      <c r="K106" t="s">
        <v>29</v>
      </c>
    </row>
    <row r="107" spans="1:11" x14ac:dyDescent="0.35">
      <c r="A107">
        <v>105</v>
      </c>
      <c r="B107" t="s">
        <v>151</v>
      </c>
      <c r="C107" t="s">
        <v>24</v>
      </c>
      <c r="D107" t="s">
        <v>100</v>
      </c>
      <c r="E107">
        <v>45394</v>
      </c>
      <c r="F107" s="1">
        <v>45403</v>
      </c>
      <c r="G107">
        <v>3</v>
      </c>
      <c r="H107">
        <v>815</v>
      </c>
      <c r="I107" t="s">
        <v>28</v>
      </c>
      <c r="J107" t="s">
        <v>33</v>
      </c>
      <c r="K107" t="s">
        <v>29</v>
      </c>
    </row>
    <row r="108" spans="1:11" x14ac:dyDescent="0.35">
      <c r="A108">
        <v>106</v>
      </c>
      <c r="B108" t="s">
        <v>152</v>
      </c>
      <c r="C108" t="s">
        <v>31</v>
      </c>
      <c r="D108" t="s">
        <v>76</v>
      </c>
      <c r="E108">
        <v>45531</v>
      </c>
      <c r="F108" s="1">
        <v>45538</v>
      </c>
      <c r="G108">
        <v>2</v>
      </c>
      <c r="H108">
        <v>154</v>
      </c>
      <c r="I108" t="s">
        <v>28</v>
      </c>
      <c r="J108" t="s">
        <v>549</v>
      </c>
      <c r="K108" t="s">
        <v>29</v>
      </c>
    </row>
    <row r="109" spans="1:11" x14ac:dyDescent="0.35">
      <c r="A109">
        <v>107</v>
      </c>
      <c r="B109" t="s">
        <v>153</v>
      </c>
      <c r="C109" t="s">
        <v>17</v>
      </c>
      <c r="D109" t="s">
        <v>18</v>
      </c>
      <c r="E109">
        <v>45524</v>
      </c>
      <c r="F109" s="1">
        <v>45534</v>
      </c>
      <c r="G109">
        <v>6</v>
      </c>
      <c r="H109">
        <v>698</v>
      </c>
      <c r="I109" t="s">
        <v>28</v>
      </c>
      <c r="J109" t="s">
        <v>33</v>
      </c>
      <c r="K109" t="s">
        <v>29</v>
      </c>
    </row>
    <row r="110" spans="1:11" x14ac:dyDescent="0.35">
      <c r="A110">
        <v>108</v>
      </c>
      <c r="B110" t="s">
        <v>154</v>
      </c>
      <c r="C110" t="s">
        <v>24</v>
      </c>
      <c r="D110" t="s">
        <v>25</v>
      </c>
      <c r="E110">
        <v>45347</v>
      </c>
      <c r="F110" s="1">
        <v>45353</v>
      </c>
      <c r="G110">
        <v>4</v>
      </c>
      <c r="H110">
        <v>492</v>
      </c>
      <c r="I110" t="s">
        <v>28</v>
      </c>
      <c r="J110" t="s">
        <v>551</v>
      </c>
      <c r="K110" t="s">
        <v>15</v>
      </c>
    </row>
    <row r="111" spans="1:11" x14ac:dyDescent="0.35">
      <c r="A111">
        <v>109</v>
      </c>
      <c r="B111" t="s">
        <v>155</v>
      </c>
      <c r="C111" t="s">
        <v>31</v>
      </c>
      <c r="D111" t="s">
        <v>32</v>
      </c>
      <c r="E111">
        <v>45405</v>
      </c>
      <c r="F111" s="1">
        <v>45410</v>
      </c>
      <c r="G111">
        <v>2</v>
      </c>
      <c r="H111">
        <v>660</v>
      </c>
      <c r="I111" t="s">
        <v>28</v>
      </c>
      <c r="J111" t="s">
        <v>549</v>
      </c>
      <c r="K111" t="s">
        <v>46</v>
      </c>
    </row>
    <row r="112" spans="1:11" x14ac:dyDescent="0.35">
      <c r="A112">
        <v>110</v>
      </c>
      <c r="B112" t="s">
        <v>156</v>
      </c>
      <c r="C112" t="s">
        <v>24</v>
      </c>
      <c r="D112" t="s">
        <v>100</v>
      </c>
      <c r="E112">
        <v>45477</v>
      </c>
      <c r="F112" s="1">
        <v>45484</v>
      </c>
      <c r="G112">
        <v>2</v>
      </c>
      <c r="H112">
        <v>712</v>
      </c>
      <c r="I112" t="s">
        <v>28</v>
      </c>
      <c r="J112" t="s">
        <v>547</v>
      </c>
      <c r="K112" t="s">
        <v>15</v>
      </c>
    </row>
    <row r="113" spans="1:11" x14ac:dyDescent="0.35">
      <c r="A113">
        <v>111</v>
      </c>
      <c r="B113" t="s">
        <v>157</v>
      </c>
      <c r="C113" t="s">
        <v>31</v>
      </c>
      <c r="D113" t="s">
        <v>76</v>
      </c>
      <c r="E113">
        <v>45495</v>
      </c>
      <c r="F113" s="1">
        <v>45499</v>
      </c>
      <c r="G113">
        <v>5</v>
      </c>
      <c r="H113">
        <v>204</v>
      </c>
      <c r="I113" t="s">
        <v>14</v>
      </c>
      <c r="J113" t="s">
        <v>551</v>
      </c>
      <c r="K113" t="s">
        <v>46</v>
      </c>
    </row>
    <row r="114" spans="1:11" x14ac:dyDescent="0.35">
      <c r="A114">
        <v>112</v>
      </c>
      <c r="B114" t="s">
        <v>158</v>
      </c>
      <c r="C114" t="s">
        <v>21</v>
      </c>
      <c r="D114" t="s">
        <v>52</v>
      </c>
      <c r="E114">
        <v>45302</v>
      </c>
      <c r="F114" s="1">
        <v>45308</v>
      </c>
      <c r="G114">
        <v>1</v>
      </c>
      <c r="H114">
        <v>815</v>
      </c>
      <c r="I114" t="s">
        <v>14</v>
      </c>
      <c r="J114" t="s">
        <v>547</v>
      </c>
      <c r="K114" t="s">
        <v>15</v>
      </c>
    </row>
    <row r="115" spans="1:11" x14ac:dyDescent="0.35">
      <c r="A115">
        <v>113</v>
      </c>
      <c r="B115" t="s">
        <v>159</v>
      </c>
      <c r="C115" t="s">
        <v>17</v>
      </c>
      <c r="D115" t="s">
        <v>64</v>
      </c>
      <c r="E115">
        <v>45327</v>
      </c>
      <c r="F115" s="1">
        <v>45335</v>
      </c>
      <c r="G115">
        <v>9</v>
      </c>
      <c r="H115">
        <v>222</v>
      </c>
      <c r="I115" t="s">
        <v>14</v>
      </c>
      <c r="J115" t="s">
        <v>33</v>
      </c>
      <c r="K115" t="s">
        <v>19</v>
      </c>
    </row>
    <row r="116" spans="1:11" x14ac:dyDescent="0.35">
      <c r="A116">
        <v>114</v>
      </c>
      <c r="B116" t="s">
        <v>160</v>
      </c>
      <c r="C116" t="s">
        <v>31</v>
      </c>
      <c r="D116" t="s">
        <v>42</v>
      </c>
      <c r="E116">
        <v>45597</v>
      </c>
      <c r="F116" s="1">
        <v>45605</v>
      </c>
      <c r="G116">
        <v>1</v>
      </c>
      <c r="H116">
        <v>293</v>
      </c>
      <c r="I116" t="s">
        <v>14</v>
      </c>
      <c r="J116" t="s">
        <v>549</v>
      </c>
      <c r="K116" t="s">
        <v>29</v>
      </c>
    </row>
    <row r="117" spans="1:11" x14ac:dyDescent="0.35">
      <c r="A117">
        <v>115</v>
      </c>
      <c r="B117" t="s">
        <v>161</v>
      </c>
      <c r="C117" t="s">
        <v>17</v>
      </c>
      <c r="D117" t="s">
        <v>56</v>
      </c>
      <c r="E117">
        <v>45381</v>
      </c>
      <c r="F117" s="1">
        <v>45387</v>
      </c>
      <c r="G117">
        <v>2</v>
      </c>
      <c r="H117">
        <v>686</v>
      </c>
      <c r="I117" t="s">
        <v>14</v>
      </c>
      <c r="J117" t="s">
        <v>549</v>
      </c>
      <c r="K117" t="s">
        <v>15</v>
      </c>
    </row>
    <row r="118" spans="1:11" x14ac:dyDescent="0.35">
      <c r="A118">
        <v>116</v>
      </c>
      <c r="B118" t="s">
        <v>162</v>
      </c>
      <c r="C118" t="s">
        <v>24</v>
      </c>
      <c r="D118" t="s">
        <v>25</v>
      </c>
      <c r="E118">
        <v>45554</v>
      </c>
      <c r="F118" s="1">
        <v>45564</v>
      </c>
      <c r="G118">
        <v>10</v>
      </c>
      <c r="H118">
        <v>121</v>
      </c>
      <c r="I118" t="s">
        <v>14</v>
      </c>
      <c r="J118" t="s">
        <v>550</v>
      </c>
      <c r="K118" t="s">
        <v>29</v>
      </c>
    </row>
    <row r="119" spans="1:11" x14ac:dyDescent="0.35">
      <c r="A119">
        <v>117</v>
      </c>
      <c r="B119" t="s">
        <v>163</v>
      </c>
      <c r="C119" t="s">
        <v>17</v>
      </c>
      <c r="D119" t="s">
        <v>18</v>
      </c>
      <c r="E119">
        <v>45629</v>
      </c>
      <c r="F119" s="1">
        <v>45633</v>
      </c>
      <c r="G119">
        <v>9</v>
      </c>
      <c r="H119">
        <v>318</v>
      </c>
      <c r="I119" t="s">
        <v>14</v>
      </c>
      <c r="J119" t="s">
        <v>550</v>
      </c>
      <c r="K119" t="s">
        <v>19</v>
      </c>
    </row>
    <row r="120" spans="1:11" x14ac:dyDescent="0.35">
      <c r="A120">
        <v>118</v>
      </c>
      <c r="B120" t="s">
        <v>164</v>
      </c>
      <c r="C120" t="s">
        <v>24</v>
      </c>
      <c r="D120" t="s">
        <v>38</v>
      </c>
      <c r="E120">
        <v>45510</v>
      </c>
      <c r="F120" s="1">
        <v>45521</v>
      </c>
      <c r="G120">
        <v>2</v>
      </c>
      <c r="H120">
        <v>512</v>
      </c>
      <c r="I120" t="s">
        <v>14</v>
      </c>
      <c r="J120" t="s">
        <v>33</v>
      </c>
      <c r="K120" t="s">
        <v>15</v>
      </c>
    </row>
    <row r="121" spans="1:11" x14ac:dyDescent="0.35">
      <c r="A121">
        <v>119</v>
      </c>
      <c r="B121" t="s">
        <v>165</v>
      </c>
      <c r="C121" t="s">
        <v>12</v>
      </c>
      <c r="D121" t="s">
        <v>96</v>
      </c>
      <c r="E121">
        <v>45603</v>
      </c>
      <c r="F121" s="1">
        <v>45608</v>
      </c>
      <c r="G121">
        <v>3</v>
      </c>
      <c r="H121">
        <v>77</v>
      </c>
      <c r="I121" t="s">
        <v>28</v>
      </c>
      <c r="J121" t="s">
        <v>551</v>
      </c>
      <c r="K121" t="s">
        <v>29</v>
      </c>
    </row>
    <row r="122" spans="1:11" x14ac:dyDescent="0.35">
      <c r="A122">
        <v>120</v>
      </c>
      <c r="B122" t="s">
        <v>166</v>
      </c>
      <c r="C122" t="s">
        <v>24</v>
      </c>
      <c r="D122" t="s">
        <v>70</v>
      </c>
      <c r="E122">
        <v>45601</v>
      </c>
      <c r="F122" s="1">
        <v>45605</v>
      </c>
      <c r="G122">
        <v>7</v>
      </c>
      <c r="H122">
        <v>111</v>
      </c>
      <c r="I122" t="s">
        <v>28</v>
      </c>
      <c r="J122" t="s">
        <v>549</v>
      </c>
      <c r="K122" t="s">
        <v>46</v>
      </c>
    </row>
    <row r="123" spans="1:11" x14ac:dyDescent="0.35">
      <c r="A123">
        <v>121</v>
      </c>
      <c r="B123" t="s">
        <v>167</v>
      </c>
      <c r="C123" t="s">
        <v>24</v>
      </c>
      <c r="D123" t="s">
        <v>38</v>
      </c>
      <c r="E123">
        <v>45504</v>
      </c>
      <c r="F123" s="1">
        <v>45509</v>
      </c>
      <c r="G123">
        <v>2</v>
      </c>
      <c r="H123">
        <v>330</v>
      </c>
      <c r="I123" t="s">
        <v>28</v>
      </c>
      <c r="J123" t="s">
        <v>550</v>
      </c>
      <c r="K123" t="s">
        <v>46</v>
      </c>
    </row>
    <row r="124" spans="1:11" x14ac:dyDescent="0.35">
      <c r="A124">
        <v>122</v>
      </c>
      <c r="B124" t="s">
        <v>168</v>
      </c>
      <c r="C124" t="s">
        <v>31</v>
      </c>
      <c r="D124" t="s">
        <v>79</v>
      </c>
      <c r="E124">
        <v>45370</v>
      </c>
      <c r="F124" s="1">
        <v>45374</v>
      </c>
      <c r="G124">
        <v>8</v>
      </c>
      <c r="H124">
        <v>78</v>
      </c>
      <c r="I124" t="s">
        <v>14</v>
      </c>
      <c r="J124" t="s">
        <v>551</v>
      </c>
      <c r="K124" t="s">
        <v>19</v>
      </c>
    </row>
    <row r="125" spans="1:11" x14ac:dyDescent="0.35">
      <c r="A125">
        <v>123</v>
      </c>
      <c r="B125" t="s">
        <v>169</v>
      </c>
      <c r="C125" t="s">
        <v>24</v>
      </c>
      <c r="D125" t="s">
        <v>115</v>
      </c>
      <c r="E125">
        <v>45482</v>
      </c>
      <c r="F125" s="1">
        <v>45486</v>
      </c>
      <c r="G125">
        <v>3</v>
      </c>
      <c r="H125">
        <v>579</v>
      </c>
      <c r="I125" t="s">
        <v>28</v>
      </c>
      <c r="J125" t="s">
        <v>551</v>
      </c>
      <c r="K125" t="s">
        <v>19</v>
      </c>
    </row>
    <row r="126" spans="1:11" x14ac:dyDescent="0.35">
      <c r="A126">
        <v>124</v>
      </c>
      <c r="B126" t="s">
        <v>170</v>
      </c>
      <c r="C126" t="s">
        <v>17</v>
      </c>
      <c r="D126" t="s">
        <v>56</v>
      </c>
      <c r="E126">
        <v>45635</v>
      </c>
      <c r="F126" s="1">
        <v>45649</v>
      </c>
      <c r="G126">
        <v>2</v>
      </c>
      <c r="H126">
        <v>430</v>
      </c>
      <c r="I126" t="s">
        <v>28</v>
      </c>
      <c r="J126" t="s">
        <v>547</v>
      </c>
      <c r="K126" t="s">
        <v>46</v>
      </c>
    </row>
    <row r="127" spans="1:11" x14ac:dyDescent="0.35">
      <c r="A127">
        <v>125</v>
      </c>
      <c r="B127" t="s">
        <v>171</v>
      </c>
      <c r="C127" t="s">
        <v>12</v>
      </c>
      <c r="D127" t="s">
        <v>96</v>
      </c>
      <c r="E127">
        <v>45599</v>
      </c>
      <c r="F127" s="1">
        <v>45620</v>
      </c>
      <c r="G127">
        <v>5</v>
      </c>
      <c r="H127">
        <v>370</v>
      </c>
      <c r="I127" t="s">
        <v>28</v>
      </c>
      <c r="J127" t="s">
        <v>551</v>
      </c>
      <c r="K127" t="s">
        <v>15</v>
      </c>
    </row>
    <row r="128" spans="1:11" x14ac:dyDescent="0.35">
      <c r="A128">
        <v>126</v>
      </c>
      <c r="B128" t="s">
        <v>172</v>
      </c>
      <c r="C128" t="s">
        <v>17</v>
      </c>
      <c r="D128" t="s">
        <v>56</v>
      </c>
      <c r="E128">
        <v>45350</v>
      </c>
      <c r="F128" s="1">
        <v>45354</v>
      </c>
      <c r="G128">
        <v>5</v>
      </c>
      <c r="H128">
        <v>597</v>
      </c>
      <c r="I128" t="s">
        <v>28</v>
      </c>
      <c r="J128" t="s">
        <v>551</v>
      </c>
      <c r="K128" t="s">
        <v>46</v>
      </c>
    </row>
    <row r="129" spans="1:11" x14ac:dyDescent="0.35">
      <c r="A129">
        <v>127</v>
      </c>
      <c r="B129" t="s">
        <v>173</v>
      </c>
      <c r="C129" t="s">
        <v>17</v>
      </c>
      <c r="D129" t="s">
        <v>60</v>
      </c>
      <c r="E129">
        <v>45637</v>
      </c>
      <c r="F129" s="1">
        <v>45645</v>
      </c>
      <c r="G129">
        <v>9</v>
      </c>
      <c r="H129">
        <v>36</v>
      </c>
      <c r="I129" t="s">
        <v>14</v>
      </c>
      <c r="J129" t="s">
        <v>33</v>
      </c>
      <c r="K129" t="s">
        <v>46</v>
      </c>
    </row>
    <row r="130" spans="1:11" x14ac:dyDescent="0.35">
      <c r="A130">
        <v>128</v>
      </c>
      <c r="B130" t="s">
        <v>174</v>
      </c>
      <c r="C130" t="s">
        <v>21</v>
      </c>
      <c r="D130" t="s">
        <v>83</v>
      </c>
      <c r="E130">
        <v>45651</v>
      </c>
      <c r="F130" s="1">
        <v>45660</v>
      </c>
      <c r="G130">
        <v>5</v>
      </c>
      <c r="H130">
        <v>953</v>
      </c>
      <c r="I130" t="s">
        <v>14</v>
      </c>
      <c r="J130" t="s">
        <v>547</v>
      </c>
      <c r="K130" t="s">
        <v>15</v>
      </c>
    </row>
    <row r="131" spans="1:11" x14ac:dyDescent="0.35">
      <c r="A131">
        <v>129</v>
      </c>
      <c r="B131" t="s">
        <v>175</v>
      </c>
      <c r="C131" t="s">
        <v>21</v>
      </c>
      <c r="D131" t="s">
        <v>54</v>
      </c>
      <c r="E131">
        <v>45581</v>
      </c>
      <c r="F131" s="1">
        <v>45584</v>
      </c>
      <c r="G131">
        <v>7</v>
      </c>
      <c r="H131">
        <v>81</v>
      </c>
      <c r="I131" t="s">
        <v>14</v>
      </c>
      <c r="J131" t="s">
        <v>551</v>
      </c>
      <c r="K131" t="s">
        <v>19</v>
      </c>
    </row>
    <row r="132" spans="1:11" x14ac:dyDescent="0.35">
      <c r="A132">
        <v>130</v>
      </c>
      <c r="B132" t="s">
        <v>176</v>
      </c>
      <c r="C132" t="s">
        <v>31</v>
      </c>
      <c r="D132" t="s">
        <v>79</v>
      </c>
      <c r="E132">
        <v>45582</v>
      </c>
      <c r="F132" s="1">
        <v>45594</v>
      </c>
      <c r="G132">
        <v>10</v>
      </c>
      <c r="H132">
        <v>96</v>
      </c>
      <c r="I132" t="s">
        <v>14</v>
      </c>
      <c r="J132" t="s">
        <v>551</v>
      </c>
      <c r="K132" t="s">
        <v>29</v>
      </c>
    </row>
    <row r="133" spans="1:11" x14ac:dyDescent="0.35">
      <c r="A133">
        <v>131</v>
      </c>
      <c r="B133" t="s">
        <v>177</v>
      </c>
      <c r="C133" t="s">
        <v>17</v>
      </c>
      <c r="D133" t="s">
        <v>44</v>
      </c>
      <c r="E133">
        <v>45504</v>
      </c>
      <c r="F133" s="1">
        <v>45507</v>
      </c>
      <c r="G133">
        <v>5</v>
      </c>
      <c r="H133">
        <v>230</v>
      </c>
      <c r="I133" t="s">
        <v>14</v>
      </c>
      <c r="J133" t="s">
        <v>549</v>
      </c>
      <c r="K133" t="s">
        <v>19</v>
      </c>
    </row>
    <row r="134" spans="1:11" x14ac:dyDescent="0.35">
      <c r="A134">
        <v>132</v>
      </c>
      <c r="B134" t="s">
        <v>178</v>
      </c>
      <c r="C134" t="s">
        <v>17</v>
      </c>
      <c r="D134" t="s">
        <v>56</v>
      </c>
      <c r="E134">
        <v>45315</v>
      </c>
      <c r="F134" s="1">
        <v>45329</v>
      </c>
      <c r="G134">
        <v>4</v>
      </c>
      <c r="H134">
        <v>414</v>
      </c>
      <c r="I134" t="s">
        <v>14</v>
      </c>
      <c r="J134" t="s">
        <v>33</v>
      </c>
      <c r="K134" t="s">
        <v>15</v>
      </c>
    </row>
    <row r="135" spans="1:11" x14ac:dyDescent="0.35">
      <c r="A135">
        <v>133</v>
      </c>
      <c r="B135" t="s">
        <v>179</v>
      </c>
      <c r="C135" t="s">
        <v>12</v>
      </c>
      <c r="D135" t="s">
        <v>13</v>
      </c>
      <c r="E135">
        <v>45546</v>
      </c>
      <c r="F135" s="1">
        <v>45559</v>
      </c>
      <c r="G135">
        <v>7</v>
      </c>
      <c r="H135">
        <v>189</v>
      </c>
      <c r="I135" t="s">
        <v>28</v>
      </c>
      <c r="J135" t="s">
        <v>551</v>
      </c>
      <c r="K135" t="s">
        <v>19</v>
      </c>
    </row>
    <row r="136" spans="1:11" x14ac:dyDescent="0.35">
      <c r="A136">
        <v>134</v>
      </c>
      <c r="B136" t="s">
        <v>180</v>
      </c>
      <c r="C136" t="s">
        <v>24</v>
      </c>
      <c r="D136" t="s">
        <v>25</v>
      </c>
      <c r="E136">
        <v>45350</v>
      </c>
      <c r="F136" s="1">
        <v>45356</v>
      </c>
      <c r="G136">
        <v>7</v>
      </c>
      <c r="H136">
        <v>31</v>
      </c>
      <c r="I136" t="s">
        <v>28</v>
      </c>
      <c r="J136" t="s">
        <v>547</v>
      </c>
      <c r="K136" t="s">
        <v>19</v>
      </c>
    </row>
    <row r="137" spans="1:11" x14ac:dyDescent="0.35">
      <c r="A137">
        <v>135</v>
      </c>
      <c r="B137" t="s">
        <v>181</v>
      </c>
      <c r="C137" t="s">
        <v>17</v>
      </c>
      <c r="D137" t="s">
        <v>44</v>
      </c>
      <c r="E137">
        <v>45560</v>
      </c>
      <c r="F137" s="1">
        <v>45572</v>
      </c>
      <c r="G137">
        <v>2</v>
      </c>
      <c r="H137">
        <v>415</v>
      </c>
      <c r="I137" t="s">
        <v>28</v>
      </c>
      <c r="J137" t="s">
        <v>549</v>
      </c>
      <c r="K137" t="s">
        <v>29</v>
      </c>
    </row>
    <row r="138" spans="1:11" x14ac:dyDescent="0.35">
      <c r="A138">
        <v>136</v>
      </c>
      <c r="B138" t="s">
        <v>182</v>
      </c>
      <c r="C138" t="s">
        <v>31</v>
      </c>
      <c r="D138" t="s">
        <v>42</v>
      </c>
      <c r="E138">
        <v>45462</v>
      </c>
      <c r="F138" s="1">
        <v>45469</v>
      </c>
      <c r="G138">
        <v>3</v>
      </c>
      <c r="H138">
        <v>88</v>
      </c>
      <c r="I138" t="s">
        <v>28</v>
      </c>
      <c r="J138" t="s">
        <v>33</v>
      </c>
      <c r="K138" t="s">
        <v>15</v>
      </c>
    </row>
    <row r="139" spans="1:11" x14ac:dyDescent="0.35">
      <c r="A139">
        <v>137</v>
      </c>
      <c r="B139" t="s">
        <v>183</v>
      </c>
      <c r="C139" t="s">
        <v>17</v>
      </c>
      <c r="D139" t="s">
        <v>64</v>
      </c>
      <c r="E139">
        <v>45470</v>
      </c>
      <c r="F139" s="1">
        <v>45478</v>
      </c>
      <c r="G139">
        <v>6</v>
      </c>
      <c r="H139">
        <v>754</v>
      </c>
      <c r="I139" t="s">
        <v>14</v>
      </c>
      <c r="J139" t="s">
        <v>549</v>
      </c>
      <c r="K139" t="s">
        <v>15</v>
      </c>
    </row>
    <row r="140" spans="1:11" x14ac:dyDescent="0.35">
      <c r="A140">
        <v>138</v>
      </c>
      <c r="B140" t="s">
        <v>184</v>
      </c>
      <c r="C140" t="s">
        <v>12</v>
      </c>
      <c r="D140" t="s">
        <v>58</v>
      </c>
      <c r="E140">
        <v>45423</v>
      </c>
      <c r="F140" s="1">
        <v>45435</v>
      </c>
      <c r="G140">
        <v>4</v>
      </c>
      <c r="H140">
        <v>187</v>
      </c>
      <c r="I140" t="s">
        <v>28</v>
      </c>
      <c r="J140" t="s">
        <v>33</v>
      </c>
      <c r="K140" t="s">
        <v>15</v>
      </c>
    </row>
    <row r="141" spans="1:11" x14ac:dyDescent="0.35">
      <c r="A141">
        <v>139</v>
      </c>
      <c r="B141" t="s">
        <v>185</v>
      </c>
      <c r="C141" t="s">
        <v>12</v>
      </c>
      <c r="D141" t="s">
        <v>58</v>
      </c>
      <c r="E141">
        <v>45613</v>
      </c>
      <c r="F141" s="1">
        <v>45623</v>
      </c>
      <c r="G141">
        <v>8</v>
      </c>
      <c r="H141">
        <v>485</v>
      </c>
      <c r="I141" t="s">
        <v>28</v>
      </c>
      <c r="J141" t="s">
        <v>549</v>
      </c>
      <c r="K141" t="s">
        <v>46</v>
      </c>
    </row>
    <row r="142" spans="1:11" x14ac:dyDescent="0.35">
      <c r="A142">
        <v>140</v>
      </c>
      <c r="B142" t="s">
        <v>186</v>
      </c>
      <c r="C142" t="s">
        <v>24</v>
      </c>
      <c r="D142" t="s">
        <v>70</v>
      </c>
      <c r="E142">
        <v>45621</v>
      </c>
      <c r="F142" s="1">
        <v>45624</v>
      </c>
      <c r="G142">
        <v>10</v>
      </c>
      <c r="H142">
        <v>340</v>
      </c>
      <c r="I142" t="s">
        <v>14</v>
      </c>
      <c r="J142" t="s">
        <v>549</v>
      </c>
      <c r="K142" t="s">
        <v>29</v>
      </c>
    </row>
    <row r="143" spans="1:11" x14ac:dyDescent="0.35">
      <c r="A143">
        <v>141</v>
      </c>
      <c r="B143" t="s">
        <v>187</v>
      </c>
      <c r="C143" t="s">
        <v>24</v>
      </c>
      <c r="D143" t="s">
        <v>115</v>
      </c>
      <c r="E143">
        <v>45532</v>
      </c>
      <c r="F143" s="1">
        <v>45543</v>
      </c>
      <c r="G143">
        <v>8</v>
      </c>
      <c r="H143">
        <v>656</v>
      </c>
      <c r="I143" t="s">
        <v>28</v>
      </c>
      <c r="J143" t="s">
        <v>547</v>
      </c>
      <c r="K143" t="s">
        <v>15</v>
      </c>
    </row>
    <row r="144" spans="1:11" x14ac:dyDescent="0.35">
      <c r="A144">
        <v>142</v>
      </c>
      <c r="B144" t="s">
        <v>188</v>
      </c>
      <c r="C144" t="s">
        <v>12</v>
      </c>
      <c r="D144" t="s">
        <v>96</v>
      </c>
      <c r="E144">
        <v>45551</v>
      </c>
      <c r="F144" s="1">
        <v>45555</v>
      </c>
      <c r="G144">
        <v>2</v>
      </c>
      <c r="H144">
        <v>327</v>
      </c>
      <c r="I144" t="s">
        <v>14</v>
      </c>
      <c r="J144" t="s">
        <v>550</v>
      </c>
      <c r="K144" t="s">
        <v>46</v>
      </c>
    </row>
    <row r="145" spans="1:11" x14ac:dyDescent="0.35">
      <c r="A145">
        <v>143</v>
      </c>
      <c r="B145" t="s">
        <v>189</v>
      </c>
      <c r="C145" t="s">
        <v>12</v>
      </c>
      <c r="D145" t="s">
        <v>96</v>
      </c>
      <c r="E145">
        <v>45438</v>
      </c>
      <c r="F145" s="1">
        <v>45444</v>
      </c>
      <c r="G145">
        <v>2</v>
      </c>
      <c r="H145">
        <v>670</v>
      </c>
      <c r="I145" t="s">
        <v>28</v>
      </c>
      <c r="J145" t="s">
        <v>549</v>
      </c>
      <c r="K145" t="s">
        <v>19</v>
      </c>
    </row>
    <row r="146" spans="1:11" x14ac:dyDescent="0.35">
      <c r="A146">
        <v>144</v>
      </c>
      <c r="B146" t="s">
        <v>190</v>
      </c>
      <c r="C146" t="s">
        <v>17</v>
      </c>
      <c r="D146" t="s">
        <v>64</v>
      </c>
      <c r="E146">
        <v>45456</v>
      </c>
      <c r="F146" s="1">
        <v>45461</v>
      </c>
      <c r="G146">
        <v>10</v>
      </c>
      <c r="H146">
        <v>497</v>
      </c>
      <c r="I146" t="s">
        <v>14</v>
      </c>
      <c r="J146" t="s">
        <v>33</v>
      </c>
      <c r="K146" t="s">
        <v>46</v>
      </c>
    </row>
    <row r="147" spans="1:11" x14ac:dyDescent="0.35">
      <c r="A147">
        <v>145</v>
      </c>
      <c r="B147" t="s">
        <v>191</v>
      </c>
      <c r="C147" t="s">
        <v>24</v>
      </c>
      <c r="D147" t="s">
        <v>115</v>
      </c>
      <c r="E147">
        <v>45467</v>
      </c>
      <c r="F147" s="1">
        <v>45476</v>
      </c>
      <c r="G147">
        <v>2</v>
      </c>
      <c r="H147">
        <v>526</v>
      </c>
      <c r="I147" t="s">
        <v>14</v>
      </c>
      <c r="J147" t="s">
        <v>33</v>
      </c>
      <c r="K147" t="s">
        <v>29</v>
      </c>
    </row>
    <row r="148" spans="1:11" x14ac:dyDescent="0.35">
      <c r="A148">
        <v>146</v>
      </c>
      <c r="B148" t="s">
        <v>192</v>
      </c>
      <c r="C148" t="s">
        <v>31</v>
      </c>
      <c r="D148" t="s">
        <v>79</v>
      </c>
      <c r="E148">
        <v>45490</v>
      </c>
      <c r="F148" s="1">
        <v>45504</v>
      </c>
      <c r="G148">
        <v>7</v>
      </c>
      <c r="H148">
        <v>803</v>
      </c>
      <c r="I148" t="s">
        <v>14</v>
      </c>
      <c r="J148" t="s">
        <v>547</v>
      </c>
      <c r="K148" t="s">
        <v>15</v>
      </c>
    </row>
    <row r="149" spans="1:11" x14ac:dyDescent="0.35">
      <c r="A149">
        <v>147</v>
      </c>
      <c r="B149" t="s">
        <v>193</v>
      </c>
      <c r="C149" t="s">
        <v>31</v>
      </c>
      <c r="D149" t="s">
        <v>50</v>
      </c>
      <c r="E149">
        <v>45358</v>
      </c>
      <c r="F149" s="1">
        <v>45364</v>
      </c>
      <c r="G149">
        <v>10</v>
      </c>
      <c r="H149">
        <v>735</v>
      </c>
      <c r="I149" t="s">
        <v>28</v>
      </c>
      <c r="J149" t="s">
        <v>551</v>
      </c>
      <c r="K149" t="s">
        <v>19</v>
      </c>
    </row>
    <row r="150" spans="1:11" x14ac:dyDescent="0.35">
      <c r="A150">
        <v>148</v>
      </c>
      <c r="B150" t="s">
        <v>194</v>
      </c>
      <c r="C150" t="s">
        <v>24</v>
      </c>
      <c r="D150" t="s">
        <v>25</v>
      </c>
      <c r="E150">
        <v>45357</v>
      </c>
      <c r="F150" s="1">
        <v>45362</v>
      </c>
      <c r="G150">
        <v>9</v>
      </c>
      <c r="H150">
        <v>105</v>
      </c>
      <c r="I150" t="s">
        <v>28</v>
      </c>
      <c r="J150" t="s">
        <v>33</v>
      </c>
      <c r="K150" t="s">
        <v>46</v>
      </c>
    </row>
    <row r="151" spans="1:11" x14ac:dyDescent="0.35">
      <c r="A151">
        <v>149</v>
      </c>
      <c r="B151" t="s">
        <v>195</v>
      </c>
      <c r="C151" t="s">
        <v>21</v>
      </c>
      <c r="D151" t="s">
        <v>54</v>
      </c>
      <c r="E151">
        <v>45362</v>
      </c>
      <c r="F151" s="1">
        <v>45367</v>
      </c>
      <c r="G151">
        <v>3</v>
      </c>
      <c r="H151">
        <v>89</v>
      </c>
      <c r="I151" t="s">
        <v>28</v>
      </c>
      <c r="J151" t="s">
        <v>547</v>
      </c>
      <c r="K151" t="s">
        <v>46</v>
      </c>
    </row>
    <row r="152" spans="1:11" x14ac:dyDescent="0.35">
      <c r="A152">
        <v>150</v>
      </c>
      <c r="B152" t="s">
        <v>196</v>
      </c>
      <c r="C152" t="s">
        <v>17</v>
      </c>
      <c r="D152" t="s">
        <v>60</v>
      </c>
      <c r="E152">
        <v>45311</v>
      </c>
      <c r="F152" s="1">
        <v>45316</v>
      </c>
      <c r="G152">
        <v>6</v>
      </c>
      <c r="H152">
        <v>907</v>
      </c>
      <c r="I152" t="s">
        <v>14</v>
      </c>
      <c r="J152" t="s">
        <v>549</v>
      </c>
      <c r="K152" t="s">
        <v>15</v>
      </c>
    </row>
    <row r="153" spans="1:11" x14ac:dyDescent="0.35">
      <c r="A153">
        <v>151</v>
      </c>
      <c r="B153" t="s">
        <v>197</v>
      </c>
      <c r="C153" t="s">
        <v>17</v>
      </c>
      <c r="D153" t="s">
        <v>44</v>
      </c>
      <c r="E153">
        <v>45370</v>
      </c>
      <c r="F153" s="1">
        <v>45376</v>
      </c>
      <c r="G153">
        <v>3</v>
      </c>
      <c r="H153">
        <v>195</v>
      </c>
      <c r="I153" t="s">
        <v>14</v>
      </c>
      <c r="J153" t="s">
        <v>549</v>
      </c>
      <c r="K153" t="s">
        <v>15</v>
      </c>
    </row>
    <row r="154" spans="1:11" x14ac:dyDescent="0.35">
      <c r="A154">
        <v>152</v>
      </c>
      <c r="B154" t="s">
        <v>198</v>
      </c>
      <c r="C154" t="s">
        <v>17</v>
      </c>
      <c r="D154" t="s">
        <v>60</v>
      </c>
      <c r="E154">
        <v>45506</v>
      </c>
      <c r="F154" s="1">
        <v>45515</v>
      </c>
      <c r="G154">
        <v>3</v>
      </c>
      <c r="H154">
        <v>846</v>
      </c>
      <c r="I154" t="s">
        <v>14</v>
      </c>
      <c r="J154" t="s">
        <v>551</v>
      </c>
      <c r="K154" t="s">
        <v>46</v>
      </c>
    </row>
    <row r="155" spans="1:11" x14ac:dyDescent="0.35">
      <c r="A155">
        <v>153</v>
      </c>
      <c r="B155" t="s">
        <v>199</v>
      </c>
      <c r="C155" t="s">
        <v>31</v>
      </c>
      <c r="D155" t="s">
        <v>76</v>
      </c>
      <c r="E155">
        <v>45620</v>
      </c>
      <c r="F155" s="1">
        <v>45628</v>
      </c>
      <c r="G155">
        <v>8</v>
      </c>
      <c r="H155">
        <v>905</v>
      </c>
      <c r="I155" t="s">
        <v>14</v>
      </c>
      <c r="J155" t="s">
        <v>547</v>
      </c>
      <c r="K155" t="s">
        <v>46</v>
      </c>
    </row>
    <row r="156" spans="1:11" x14ac:dyDescent="0.35">
      <c r="A156">
        <v>154</v>
      </c>
      <c r="B156" t="s">
        <v>200</v>
      </c>
      <c r="C156" t="s">
        <v>12</v>
      </c>
      <c r="D156" t="s">
        <v>96</v>
      </c>
      <c r="E156">
        <v>45406</v>
      </c>
      <c r="F156" s="1">
        <v>45418</v>
      </c>
      <c r="G156">
        <v>1</v>
      </c>
      <c r="H156">
        <v>336</v>
      </c>
      <c r="I156" t="s">
        <v>14</v>
      </c>
      <c r="J156" t="s">
        <v>551</v>
      </c>
      <c r="K156" t="s">
        <v>19</v>
      </c>
    </row>
    <row r="157" spans="1:11" x14ac:dyDescent="0.35">
      <c r="A157">
        <v>155</v>
      </c>
      <c r="B157" t="s">
        <v>201</v>
      </c>
      <c r="C157" t="s">
        <v>21</v>
      </c>
      <c r="D157" t="s">
        <v>40</v>
      </c>
      <c r="E157">
        <v>45438</v>
      </c>
      <c r="F157" s="1">
        <v>45452</v>
      </c>
      <c r="G157">
        <v>8</v>
      </c>
      <c r="H157">
        <v>722</v>
      </c>
      <c r="I157" t="s">
        <v>28</v>
      </c>
      <c r="J157" t="s">
        <v>549</v>
      </c>
      <c r="K157" t="s">
        <v>29</v>
      </c>
    </row>
    <row r="158" spans="1:11" x14ac:dyDescent="0.35">
      <c r="A158">
        <v>156</v>
      </c>
      <c r="B158" t="s">
        <v>202</v>
      </c>
      <c r="C158" t="s">
        <v>12</v>
      </c>
      <c r="D158" t="s">
        <v>13</v>
      </c>
      <c r="E158">
        <v>45547</v>
      </c>
      <c r="F158" s="1">
        <v>45558</v>
      </c>
      <c r="G158">
        <v>10</v>
      </c>
      <c r="H158">
        <v>558</v>
      </c>
      <c r="I158" t="s">
        <v>28</v>
      </c>
      <c r="J158" t="s">
        <v>551</v>
      </c>
      <c r="K158" t="s">
        <v>15</v>
      </c>
    </row>
    <row r="159" spans="1:11" x14ac:dyDescent="0.35">
      <c r="A159">
        <v>157</v>
      </c>
      <c r="B159" t="s">
        <v>203</v>
      </c>
      <c r="C159" t="s">
        <v>21</v>
      </c>
      <c r="D159" t="s">
        <v>54</v>
      </c>
      <c r="E159">
        <v>45441</v>
      </c>
      <c r="F159" s="1">
        <v>45446</v>
      </c>
      <c r="G159">
        <v>7</v>
      </c>
      <c r="H159">
        <v>11</v>
      </c>
      <c r="I159" t="s">
        <v>14</v>
      </c>
      <c r="J159" t="s">
        <v>33</v>
      </c>
      <c r="K159" t="s">
        <v>15</v>
      </c>
    </row>
    <row r="160" spans="1:11" x14ac:dyDescent="0.35">
      <c r="A160">
        <v>158</v>
      </c>
      <c r="B160" t="s">
        <v>204</v>
      </c>
      <c r="C160" t="s">
        <v>17</v>
      </c>
      <c r="D160" t="s">
        <v>44</v>
      </c>
      <c r="E160">
        <v>45387</v>
      </c>
      <c r="F160" s="1">
        <v>45396</v>
      </c>
      <c r="G160">
        <v>2</v>
      </c>
      <c r="H160">
        <v>546</v>
      </c>
      <c r="I160" t="s">
        <v>28</v>
      </c>
      <c r="J160" t="s">
        <v>547</v>
      </c>
      <c r="K160" t="s">
        <v>29</v>
      </c>
    </row>
    <row r="161" spans="1:13" x14ac:dyDescent="0.35">
      <c r="A161">
        <v>159</v>
      </c>
      <c r="B161" t="s">
        <v>205</v>
      </c>
      <c r="C161" t="s">
        <v>17</v>
      </c>
      <c r="D161" t="s">
        <v>60</v>
      </c>
      <c r="E161">
        <v>45551</v>
      </c>
      <c r="F161" s="1">
        <v>45558</v>
      </c>
      <c r="G161">
        <v>9</v>
      </c>
      <c r="H161">
        <v>30</v>
      </c>
      <c r="I161" t="s">
        <v>14</v>
      </c>
      <c r="J161" t="s">
        <v>550</v>
      </c>
      <c r="K161" t="s">
        <v>15</v>
      </c>
    </row>
    <row r="162" spans="1:13" x14ac:dyDescent="0.35">
      <c r="A162">
        <v>160</v>
      </c>
      <c r="B162" t="s">
        <v>206</v>
      </c>
      <c r="C162" t="s">
        <v>21</v>
      </c>
      <c r="D162" t="s">
        <v>40</v>
      </c>
      <c r="E162">
        <v>45589</v>
      </c>
      <c r="F162" s="1">
        <v>45608</v>
      </c>
      <c r="G162">
        <v>6</v>
      </c>
      <c r="H162">
        <v>146</v>
      </c>
      <c r="I162" t="s">
        <v>28</v>
      </c>
      <c r="J162" t="s">
        <v>551</v>
      </c>
      <c r="K162" t="s">
        <v>19</v>
      </c>
    </row>
    <row r="163" spans="1:13" x14ac:dyDescent="0.35">
      <c r="A163">
        <v>161</v>
      </c>
      <c r="B163" t="s">
        <v>207</v>
      </c>
      <c r="C163" t="s">
        <v>31</v>
      </c>
      <c r="D163" t="s">
        <v>42</v>
      </c>
      <c r="E163">
        <v>45642</v>
      </c>
      <c r="F163" s="1">
        <v>45646</v>
      </c>
      <c r="G163">
        <v>8</v>
      </c>
      <c r="H163">
        <v>722</v>
      </c>
      <c r="I163" t="s">
        <v>14</v>
      </c>
      <c r="J163" t="s">
        <v>550</v>
      </c>
      <c r="K163" t="s">
        <v>46</v>
      </c>
    </row>
    <row r="164" spans="1:13" x14ac:dyDescent="0.35">
      <c r="A164">
        <v>162</v>
      </c>
      <c r="B164" t="s">
        <v>208</v>
      </c>
      <c r="C164" t="s">
        <v>12</v>
      </c>
      <c r="D164" t="s">
        <v>27</v>
      </c>
      <c r="E164">
        <v>45310</v>
      </c>
      <c r="F164" s="1">
        <v>45324</v>
      </c>
      <c r="G164">
        <v>5</v>
      </c>
      <c r="H164">
        <v>216</v>
      </c>
      <c r="I164" t="s">
        <v>14</v>
      </c>
      <c r="J164" t="s">
        <v>551</v>
      </c>
      <c r="K164" t="s">
        <v>46</v>
      </c>
    </row>
    <row r="165" spans="1:13" x14ac:dyDescent="0.35">
      <c r="A165">
        <v>163</v>
      </c>
      <c r="B165" t="s">
        <v>209</v>
      </c>
      <c r="C165" t="s">
        <v>12</v>
      </c>
      <c r="D165" t="s">
        <v>58</v>
      </c>
      <c r="E165">
        <v>45438</v>
      </c>
      <c r="F165" s="1">
        <v>45445</v>
      </c>
      <c r="G165">
        <v>6</v>
      </c>
      <c r="H165">
        <v>892</v>
      </c>
      <c r="I165" t="s">
        <v>28</v>
      </c>
      <c r="J165" t="s">
        <v>549</v>
      </c>
      <c r="K165" t="s">
        <v>19</v>
      </c>
      <c r="M165" t="s">
        <v>554</v>
      </c>
    </row>
    <row r="166" spans="1:13" x14ac:dyDescent="0.35">
      <c r="A166">
        <v>164</v>
      </c>
      <c r="B166" t="s">
        <v>210</v>
      </c>
      <c r="C166" t="s">
        <v>12</v>
      </c>
      <c r="D166" t="s">
        <v>27</v>
      </c>
      <c r="E166">
        <v>45332</v>
      </c>
      <c r="F166" s="1">
        <v>45340</v>
      </c>
      <c r="G166">
        <v>7</v>
      </c>
      <c r="H166">
        <v>626</v>
      </c>
      <c r="I166" t="s">
        <v>28</v>
      </c>
      <c r="J166" t="s">
        <v>549</v>
      </c>
      <c r="K166" t="s">
        <v>29</v>
      </c>
    </row>
    <row r="167" spans="1:13" x14ac:dyDescent="0.35">
      <c r="A167">
        <v>165</v>
      </c>
      <c r="B167" t="s">
        <v>211</v>
      </c>
      <c r="C167" t="s">
        <v>12</v>
      </c>
      <c r="D167" t="s">
        <v>96</v>
      </c>
      <c r="E167">
        <v>45606</v>
      </c>
      <c r="F167" s="1">
        <v>45620</v>
      </c>
      <c r="G167">
        <v>7</v>
      </c>
      <c r="H167">
        <v>291</v>
      </c>
      <c r="I167" t="s">
        <v>14</v>
      </c>
      <c r="J167" t="s">
        <v>33</v>
      </c>
      <c r="K167" t="s">
        <v>19</v>
      </c>
    </row>
    <row r="168" spans="1:13" x14ac:dyDescent="0.35">
      <c r="A168">
        <v>166</v>
      </c>
      <c r="B168" t="s">
        <v>212</v>
      </c>
      <c r="C168" t="s">
        <v>24</v>
      </c>
      <c r="D168" t="s">
        <v>25</v>
      </c>
      <c r="E168">
        <v>45554</v>
      </c>
      <c r="F168" s="1">
        <v>45574</v>
      </c>
      <c r="G168">
        <v>3</v>
      </c>
      <c r="H168">
        <v>985</v>
      </c>
      <c r="I168" t="s">
        <v>28</v>
      </c>
      <c r="J168" t="s">
        <v>551</v>
      </c>
      <c r="K168" t="s">
        <v>29</v>
      </c>
    </row>
    <row r="169" spans="1:13" x14ac:dyDescent="0.35">
      <c r="A169">
        <v>167</v>
      </c>
      <c r="B169" t="s">
        <v>213</v>
      </c>
      <c r="C169" t="s">
        <v>17</v>
      </c>
      <c r="D169" t="s">
        <v>44</v>
      </c>
      <c r="E169">
        <v>45579</v>
      </c>
      <c r="F169" s="1">
        <v>45592</v>
      </c>
      <c r="G169">
        <v>2</v>
      </c>
      <c r="H169">
        <v>278</v>
      </c>
      <c r="I169" t="s">
        <v>28</v>
      </c>
      <c r="J169" t="s">
        <v>549</v>
      </c>
      <c r="K169" t="s">
        <v>15</v>
      </c>
    </row>
    <row r="170" spans="1:13" x14ac:dyDescent="0.35">
      <c r="A170">
        <v>168</v>
      </c>
      <c r="B170" t="s">
        <v>214</v>
      </c>
      <c r="C170" t="s">
        <v>24</v>
      </c>
      <c r="D170" t="s">
        <v>100</v>
      </c>
      <c r="E170">
        <v>45605</v>
      </c>
      <c r="F170" s="1">
        <v>45612</v>
      </c>
      <c r="G170">
        <v>5</v>
      </c>
      <c r="H170">
        <v>720</v>
      </c>
      <c r="I170" t="s">
        <v>14</v>
      </c>
      <c r="J170" t="s">
        <v>550</v>
      </c>
      <c r="K170" t="s">
        <v>19</v>
      </c>
    </row>
    <row r="171" spans="1:13" x14ac:dyDescent="0.35">
      <c r="A171">
        <v>169</v>
      </c>
      <c r="B171" t="s">
        <v>215</v>
      </c>
      <c r="C171" t="s">
        <v>21</v>
      </c>
      <c r="D171" t="s">
        <v>40</v>
      </c>
      <c r="E171">
        <v>45523</v>
      </c>
      <c r="F171" s="1">
        <v>45536</v>
      </c>
      <c r="G171">
        <v>3</v>
      </c>
      <c r="H171">
        <v>930</v>
      </c>
      <c r="I171" t="s">
        <v>14</v>
      </c>
      <c r="J171" t="s">
        <v>33</v>
      </c>
      <c r="K171" t="s">
        <v>29</v>
      </c>
    </row>
    <row r="172" spans="1:13" x14ac:dyDescent="0.35">
      <c r="A172">
        <v>170</v>
      </c>
      <c r="B172" t="s">
        <v>216</v>
      </c>
      <c r="C172" t="s">
        <v>21</v>
      </c>
      <c r="D172" t="s">
        <v>54</v>
      </c>
      <c r="E172">
        <v>45477</v>
      </c>
      <c r="F172" s="1">
        <v>45490</v>
      </c>
      <c r="G172">
        <v>9</v>
      </c>
      <c r="H172">
        <v>239</v>
      </c>
      <c r="I172" t="s">
        <v>14</v>
      </c>
      <c r="J172" t="s">
        <v>551</v>
      </c>
      <c r="K172" t="s">
        <v>29</v>
      </c>
    </row>
    <row r="173" spans="1:13" x14ac:dyDescent="0.35">
      <c r="A173">
        <v>171</v>
      </c>
      <c r="B173" t="s">
        <v>217</v>
      </c>
      <c r="C173" t="s">
        <v>17</v>
      </c>
      <c r="D173" t="s">
        <v>64</v>
      </c>
      <c r="E173">
        <v>45605</v>
      </c>
      <c r="F173" s="1">
        <v>45618</v>
      </c>
      <c r="G173">
        <v>2</v>
      </c>
      <c r="H173">
        <v>77</v>
      </c>
      <c r="I173" t="s">
        <v>28</v>
      </c>
      <c r="J173" t="s">
        <v>547</v>
      </c>
      <c r="K173" t="s">
        <v>19</v>
      </c>
    </row>
    <row r="174" spans="1:13" x14ac:dyDescent="0.35">
      <c r="A174">
        <v>172</v>
      </c>
      <c r="B174" t="s">
        <v>218</v>
      </c>
      <c r="C174" t="s">
        <v>24</v>
      </c>
      <c r="D174" t="s">
        <v>70</v>
      </c>
      <c r="E174">
        <v>45502</v>
      </c>
      <c r="F174" s="1">
        <v>45512</v>
      </c>
      <c r="G174">
        <v>7</v>
      </c>
      <c r="H174">
        <v>853</v>
      </c>
      <c r="I174" t="s">
        <v>14</v>
      </c>
      <c r="J174" t="s">
        <v>33</v>
      </c>
      <c r="K174" t="s">
        <v>15</v>
      </c>
    </row>
    <row r="175" spans="1:13" x14ac:dyDescent="0.35">
      <c r="A175">
        <v>173</v>
      </c>
      <c r="B175" t="s">
        <v>219</v>
      </c>
      <c r="C175" t="s">
        <v>31</v>
      </c>
      <c r="D175" t="s">
        <v>76</v>
      </c>
      <c r="E175">
        <v>45522</v>
      </c>
      <c r="F175" s="1">
        <v>45529</v>
      </c>
      <c r="G175">
        <v>8</v>
      </c>
      <c r="H175">
        <v>706</v>
      </c>
      <c r="I175" t="s">
        <v>14</v>
      </c>
      <c r="J175" t="s">
        <v>33</v>
      </c>
      <c r="K175" t="s">
        <v>15</v>
      </c>
    </row>
    <row r="176" spans="1:13" x14ac:dyDescent="0.35">
      <c r="A176">
        <v>174</v>
      </c>
      <c r="B176" t="s">
        <v>220</v>
      </c>
      <c r="C176" t="s">
        <v>17</v>
      </c>
      <c r="D176" t="s">
        <v>60</v>
      </c>
      <c r="E176">
        <v>45385</v>
      </c>
      <c r="F176" s="1">
        <v>45393</v>
      </c>
      <c r="G176">
        <v>3</v>
      </c>
      <c r="H176">
        <v>453</v>
      </c>
      <c r="I176" t="s">
        <v>14</v>
      </c>
      <c r="J176" t="s">
        <v>33</v>
      </c>
      <c r="K176" t="s">
        <v>29</v>
      </c>
    </row>
    <row r="177" spans="1:11" x14ac:dyDescent="0.35">
      <c r="A177">
        <v>175</v>
      </c>
      <c r="B177" t="s">
        <v>221</v>
      </c>
      <c r="C177" t="s">
        <v>21</v>
      </c>
      <c r="D177" t="s">
        <v>83</v>
      </c>
      <c r="E177">
        <v>45606</v>
      </c>
      <c r="F177" s="1">
        <v>45614</v>
      </c>
      <c r="G177">
        <v>9</v>
      </c>
      <c r="H177">
        <v>105</v>
      </c>
      <c r="I177" t="s">
        <v>28</v>
      </c>
      <c r="J177" t="s">
        <v>33</v>
      </c>
      <c r="K177" t="s">
        <v>29</v>
      </c>
    </row>
    <row r="178" spans="1:11" x14ac:dyDescent="0.35">
      <c r="A178">
        <v>176</v>
      </c>
      <c r="B178" t="s">
        <v>222</v>
      </c>
      <c r="C178" t="s">
        <v>17</v>
      </c>
      <c r="D178" t="s">
        <v>64</v>
      </c>
      <c r="E178">
        <v>45379</v>
      </c>
      <c r="F178" s="1">
        <v>45390</v>
      </c>
      <c r="G178">
        <v>10</v>
      </c>
      <c r="H178">
        <v>747</v>
      </c>
      <c r="I178" t="s">
        <v>28</v>
      </c>
      <c r="J178" t="s">
        <v>33</v>
      </c>
      <c r="K178" t="s">
        <v>29</v>
      </c>
    </row>
    <row r="179" spans="1:11" x14ac:dyDescent="0.35">
      <c r="A179">
        <v>177</v>
      </c>
      <c r="B179" t="s">
        <v>223</v>
      </c>
      <c r="C179" t="s">
        <v>21</v>
      </c>
      <c r="D179" t="s">
        <v>52</v>
      </c>
      <c r="E179">
        <v>45505</v>
      </c>
      <c r="F179" s="1">
        <v>45515</v>
      </c>
      <c r="G179">
        <v>10</v>
      </c>
      <c r="H179">
        <v>664</v>
      </c>
      <c r="I179" t="s">
        <v>28</v>
      </c>
      <c r="J179" t="s">
        <v>551</v>
      </c>
      <c r="K179" t="s">
        <v>46</v>
      </c>
    </row>
    <row r="180" spans="1:11" x14ac:dyDescent="0.35">
      <c r="A180">
        <v>178</v>
      </c>
      <c r="B180" t="s">
        <v>224</v>
      </c>
      <c r="C180" t="s">
        <v>24</v>
      </c>
      <c r="D180" t="s">
        <v>100</v>
      </c>
      <c r="E180">
        <v>45466</v>
      </c>
      <c r="F180" s="1">
        <v>45470</v>
      </c>
      <c r="G180">
        <v>10</v>
      </c>
      <c r="H180">
        <v>157</v>
      </c>
      <c r="I180" t="s">
        <v>28</v>
      </c>
      <c r="J180" t="s">
        <v>547</v>
      </c>
      <c r="K180" t="s">
        <v>46</v>
      </c>
    </row>
    <row r="181" spans="1:11" x14ac:dyDescent="0.35">
      <c r="A181">
        <v>179</v>
      </c>
      <c r="B181" t="s">
        <v>225</v>
      </c>
      <c r="C181" t="s">
        <v>21</v>
      </c>
      <c r="D181" t="s">
        <v>22</v>
      </c>
      <c r="E181">
        <v>45354</v>
      </c>
      <c r="F181" s="1">
        <v>45366</v>
      </c>
      <c r="G181">
        <v>5</v>
      </c>
      <c r="H181">
        <v>470</v>
      </c>
      <c r="I181" t="s">
        <v>14</v>
      </c>
      <c r="J181" t="s">
        <v>551</v>
      </c>
      <c r="K181" t="s">
        <v>46</v>
      </c>
    </row>
    <row r="182" spans="1:11" x14ac:dyDescent="0.35">
      <c r="A182">
        <v>180</v>
      </c>
      <c r="B182" t="s">
        <v>226</v>
      </c>
      <c r="C182" t="s">
        <v>21</v>
      </c>
      <c r="D182" t="s">
        <v>83</v>
      </c>
      <c r="E182">
        <v>45479</v>
      </c>
      <c r="F182" s="1">
        <v>45489</v>
      </c>
      <c r="G182">
        <v>7</v>
      </c>
      <c r="H182">
        <v>384</v>
      </c>
      <c r="I182" t="s">
        <v>14</v>
      </c>
      <c r="J182" t="s">
        <v>551</v>
      </c>
      <c r="K182" t="s">
        <v>15</v>
      </c>
    </row>
    <row r="183" spans="1:11" x14ac:dyDescent="0.35">
      <c r="A183">
        <v>181</v>
      </c>
      <c r="B183" t="s">
        <v>227</v>
      </c>
      <c r="C183" t="s">
        <v>17</v>
      </c>
      <c r="D183" t="s">
        <v>44</v>
      </c>
      <c r="E183">
        <v>45573</v>
      </c>
      <c r="F183" s="1">
        <v>45577</v>
      </c>
      <c r="G183">
        <v>5</v>
      </c>
      <c r="H183">
        <v>855</v>
      </c>
      <c r="I183" t="s">
        <v>14</v>
      </c>
      <c r="J183" t="s">
        <v>33</v>
      </c>
      <c r="K183" t="s">
        <v>29</v>
      </c>
    </row>
    <row r="184" spans="1:11" x14ac:dyDescent="0.35">
      <c r="A184">
        <v>182</v>
      </c>
      <c r="B184" t="s">
        <v>228</v>
      </c>
      <c r="C184" t="s">
        <v>21</v>
      </c>
      <c r="D184" t="s">
        <v>54</v>
      </c>
      <c r="E184">
        <v>45600</v>
      </c>
      <c r="F184" s="1">
        <v>45612</v>
      </c>
      <c r="G184">
        <v>9</v>
      </c>
      <c r="H184">
        <v>421</v>
      </c>
      <c r="I184" t="s">
        <v>14</v>
      </c>
      <c r="J184" t="s">
        <v>33</v>
      </c>
      <c r="K184" t="s">
        <v>15</v>
      </c>
    </row>
    <row r="185" spans="1:11" x14ac:dyDescent="0.35">
      <c r="A185">
        <v>183</v>
      </c>
      <c r="B185" t="s">
        <v>229</v>
      </c>
      <c r="C185" t="s">
        <v>21</v>
      </c>
      <c r="D185" t="s">
        <v>52</v>
      </c>
      <c r="E185">
        <v>45555</v>
      </c>
      <c r="F185" s="1">
        <v>45562</v>
      </c>
      <c r="G185">
        <v>3</v>
      </c>
      <c r="H185">
        <v>345</v>
      </c>
      <c r="I185" t="s">
        <v>14</v>
      </c>
      <c r="J185" t="s">
        <v>33</v>
      </c>
      <c r="K185" t="s">
        <v>46</v>
      </c>
    </row>
    <row r="186" spans="1:11" x14ac:dyDescent="0.35">
      <c r="A186">
        <v>184</v>
      </c>
      <c r="B186" t="s">
        <v>230</v>
      </c>
      <c r="C186" t="s">
        <v>24</v>
      </c>
      <c r="D186" t="s">
        <v>70</v>
      </c>
      <c r="E186">
        <v>45445</v>
      </c>
      <c r="F186" s="1">
        <v>45458</v>
      </c>
      <c r="G186">
        <v>10</v>
      </c>
      <c r="H186">
        <v>354</v>
      </c>
      <c r="I186" t="s">
        <v>28</v>
      </c>
      <c r="J186" t="s">
        <v>33</v>
      </c>
      <c r="K186" t="s">
        <v>46</v>
      </c>
    </row>
    <row r="187" spans="1:11" x14ac:dyDescent="0.35">
      <c r="A187">
        <v>185</v>
      </c>
      <c r="B187" t="s">
        <v>231</v>
      </c>
      <c r="C187" t="s">
        <v>12</v>
      </c>
      <c r="D187" t="s">
        <v>27</v>
      </c>
      <c r="E187">
        <v>45590</v>
      </c>
      <c r="F187" s="1">
        <v>45602</v>
      </c>
      <c r="G187">
        <v>5</v>
      </c>
      <c r="H187">
        <v>825</v>
      </c>
      <c r="I187" t="s">
        <v>28</v>
      </c>
      <c r="J187" t="s">
        <v>33</v>
      </c>
      <c r="K187" t="s">
        <v>15</v>
      </c>
    </row>
    <row r="188" spans="1:11" x14ac:dyDescent="0.35">
      <c r="A188">
        <v>186</v>
      </c>
      <c r="B188" t="s">
        <v>232</v>
      </c>
      <c r="C188" t="s">
        <v>24</v>
      </c>
      <c r="D188" t="s">
        <v>25</v>
      </c>
      <c r="E188">
        <v>45627</v>
      </c>
      <c r="F188" s="1">
        <v>45630</v>
      </c>
      <c r="G188">
        <v>10</v>
      </c>
      <c r="H188">
        <v>601</v>
      </c>
      <c r="I188" t="s">
        <v>28</v>
      </c>
      <c r="J188" t="s">
        <v>551</v>
      </c>
      <c r="K188" t="s">
        <v>15</v>
      </c>
    </row>
    <row r="189" spans="1:11" x14ac:dyDescent="0.35">
      <c r="A189">
        <v>187</v>
      </c>
      <c r="B189" t="s">
        <v>233</v>
      </c>
      <c r="C189" t="s">
        <v>24</v>
      </c>
      <c r="D189" t="s">
        <v>100</v>
      </c>
      <c r="E189">
        <v>45560</v>
      </c>
      <c r="F189" s="1">
        <v>45572</v>
      </c>
      <c r="G189">
        <v>10</v>
      </c>
      <c r="H189">
        <v>803</v>
      </c>
      <c r="I189" t="s">
        <v>14</v>
      </c>
      <c r="J189" t="s">
        <v>549</v>
      </c>
      <c r="K189" t="s">
        <v>46</v>
      </c>
    </row>
    <row r="190" spans="1:11" x14ac:dyDescent="0.35">
      <c r="A190">
        <v>188</v>
      </c>
      <c r="B190" t="s">
        <v>234</v>
      </c>
      <c r="C190" t="s">
        <v>12</v>
      </c>
      <c r="D190" t="s">
        <v>58</v>
      </c>
      <c r="E190">
        <v>45557</v>
      </c>
      <c r="F190" s="1">
        <v>45572</v>
      </c>
      <c r="G190">
        <v>4</v>
      </c>
      <c r="H190">
        <v>584</v>
      </c>
      <c r="I190" t="s">
        <v>28</v>
      </c>
      <c r="J190" t="s">
        <v>547</v>
      </c>
      <c r="K190" t="s">
        <v>15</v>
      </c>
    </row>
    <row r="191" spans="1:11" x14ac:dyDescent="0.35">
      <c r="A191">
        <v>189</v>
      </c>
      <c r="B191" t="s">
        <v>235</v>
      </c>
      <c r="C191" t="s">
        <v>24</v>
      </c>
      <c r="D191" t="s">
        <v>25</v>
      </c>
      <c r="E191">
        <v>45380</v>
      </c>
      <c r="F191" s="1">
        <v>45385</v>
      </c>
      <c r="G191">
        <v>8</v>
      </c>
      <c r="H191">
        <v>944</v>
      </c>
      <c r="I191" t="s">
        <v>28</v>
      </c>
      <c r="J191" t="s">
        <v>33</v>
      </c>
      <c r="K191" t="s">
        <v>19</v>
      </c>
    </row>
    <row r="192" spans="1:11" x14ac:dyDescent="0.35">
      <c r="A192">
        <v>190</v>
      </c>
      <c r="B192" t="s">
        <v>236</v>
      </c>
      <c r="C192" t="s">
        <v>31</v>
      </c>
      <c r="D192" t="s">
        <v>79</v>
      </c>
      <c r="E192">
        <v>45604</v>
      </c>
      <c r="F192" s="1">
        <v>45616</v>
      </c>
      <c r="G192">
        <v>8</v>
      </c>
      <c r="H192">
        <v>206</v>
      </c>
      <c r="I192" t="s">
        <v>28</v>
      </c>
      <c r="J192" t="s">
        <v>551</v>
      </c>
      <c r="K192" t="s">
        <v>29</v>
      </c>
    </row>
    <row r="193" spans="1:11" x14ac:dyDescent="0.35">
      <c r="A193">
        <v>191</v>
      </c>
      <c r="B193" t="s">
        <v>237</v>
      </c>
      <c r="C193" t="s">
        <v>24</v>
      </c>
      <c r="D193" t="s">
        <v>25</v>
      </c>
      <c r="E193">
        <v>45578</v>
      </c>
      <c r="F193" s="1">
        <v>45586</v>
      </c>
      <c r="G193">
        <v>5</v>
      </c>
      <c r="H193">
        <v>304</v>
      </c>
      <c r="I193" t="s">
        <v>28</v>
      </c>
      <c r="J193" t="s">
        <v>551</v>
      </c>
      <c r="K193" t="s">
        <v>46</v>
      </c>
    </row>
    <row r="194" spans="1:11" x14ac:dyDescent="0.35">
      <c r="A194">
        <v>192</v>
      </c>
      <c r="B194" t="s">
        <v>238</v>
      </c>
      <c r="C194" t="s">
        <v>12</v>
      </c>
      <c r="D194" t="s">
        <v>96</v>
      </c>
      <c r="E194">
        <v>45657</v>
      </c>
      <c r="F194" s="1">
        <v>45671</v>
      </c>
      <c r="G194">
        <v>2</v>
      </c>
      <c r="H194">
        <v>364</v>
      </c>
      <c r="I194" t="s">
        <v>28</v>
      </c>
      <c r="J194" t="s">
        <v>550</v>
      </c>
      <c r="K194" t="s">
        <v>29</v>
      </c>
    </row>
    <row r="195" spans="1:11" x14ac:dyDescent="0.35">
      <c r="A195">
        <v>193</v>
      </c>
      <c r="B195" t="s">
        <v>239</v>
      </c>
      <c r="C195" t="s">
        <v>24</v>
      </c>
      <c r="D195" t="s">
        <v>100</v>
      </c>
      <c r="E195">
        <v>45395</v>
      </c>
      <c r="F195" s="1">
        <v>45408</v>
      </c>
      <c r="G195">
        <v>9</v>
      </c>
      <c r="H195">
        <v>287</v>
      </c>
      <c r="I195" t="s">
        <v>14</v>
      </c>
      <c r="J195" t="s">
        <v>33</v>
      </c>
      <c r="K195" t="s">
        <v>19</v>
      </c>
    </row>
    <row r="196" spans="1:11" x14ac:dyDescent="0.35">
      <c r="A196">
        <v>194</v>
      </c>
      <c r="B196" t="s">
        <v>240</v>
      </c>
      <c r="C196" t="s">
        <v>12</v>
      </c>
      <c r="D196" t="s">
        <v>36</v>
      </c>
      <c r="E196">
        <v>45592</v>
      </c>
      <c r="F196" s="1">
        <v>45599</v>
      </c>
      <c r="G196">
        <v>4</v>
      </c>
      <c r="H196">
        <v>258</v>
      </c>
      <c r="I196" t="s">
        <v>14</v>
      </c>
      <c r="J196" t="s">
        <v>551</v>
      </c>
      <c r="K196" t="s">
        <v>19</v>
      </c>
    </row>
    <row r="197" spans="1:11" x14ac:dyDescent="0.35">
      <c r="A197">
        <v>195</v>
      </c>
      <c r="B197" t="s">
        <v>241</v>
      </c>
      <c r="C197" t="s">
        <v>21</v>
      </c>
      <c r="D197" t="s">
        <v>40</v>
      </c>
      <c r="E197">
        <v>45343</v>
      </c>
      <c r="F197" s="1">
        <v>45357</v>
      </c>
      <c r="G197">
        <v>7</v>
      </c>
      <c r="H197">
        <v>348</v>
      </c>
      <c r="I197" t="s">
        <v>14</v>
      </c>
      <c r="J197" t="s">
        <v>33</v>
      </c>
      <c r="K197" t="s">
        <v>19</v>
      </c>
    </row>
    <row r="198" spans="1:11" x14ac:dyDescent="0.35">
      <c r="A198">
        <v>196</v>
      </c>
      <c r="B198" t="s">
        <v>242</v>
      </c>
      <c r="C198" t="s">
        <v>21</v>
      </c>
      <c r="D198" t="s">
        <v>83</v>
      </c>
      <c r="E198">
        <v>45456</v>
      </c>
      <c r="F198" s="1">
        <v>45460</v>
      </c>
      <c r="G198">
        <v>5</v>
      </c>
      <c r="H198">
        <v>671</v>
      </c>
      <c r="I198" t="s">
        <v>28</v>
      </c>
      <c r="J198" t="s">
        <v>551</v>
      </c>
      <c r="K198" t="s">
        <v>15</v>
      </c>
    </row>
    <row r="199" spans="1:11" x14ac:dyDescent="0.35">
      <c r="A199">
        <v>197</v>
      </c>
      <c r="B199" t="s">
        <v>243</v>
      </c>
      <c r="C199" t="s">
        <v>17</v>
      </c>
      <c r="D199" t="s">
        <v>64</v>
      </c>
      <c r="E199">
        <v>45565</v>
      </c>
      <c r="F199" s="1">
        <v>45571</v>
      </c>
      <c r="G199">
        <v>1</v>
      </c>
      <c r="H199">
        <v>945</v>
      </c>
      <c r="I199" t="s">
        <v>14</v>
      </c>
      <c r="J199" t="s">
        <v>551</v>
      </c>
      <c r="K199" t="s">
        <v>46</v>
      </c>
    </row>
    <row r="200" spans="1:11" x14ac:dyDescent="0.35">
      <c r="A200">
        <v>198</v>
      </c>
      <c r="B200" t="s">
        <v>244</v>
      </c>
      <c r="C200" t="s">
        <v>12</v>
      </c>
      <c r="D200" t="s">
        <v>27</v>
      </c>
      <c r="E200">
        <v>45545</v>
      </c>
      <c r="F200" s="1">
        <v>45556</v>
      </c>
      <c r="G200">
        <v>3</v>
      </c>
      <c r="H200">
        <v>969</v>
      </c>
      <c r="I200" t="s">
        <v>14</v>
      </c>
      <c r="J200" t="s">
        <v>33</v>
      </c>
      <c r="K200" t="s">
        <v>29</v>
      </c>
    </row>
    <row r="201" spans="1:11" x14ac:dyDescent="0.35">
      <c r="A201">
        <v>199</v>
      </c>
      <c r="B201" t="s">
        <v>245</v>
      </c>
      <c r="C201" t="s">
        <v>21</v>
      </c>
      <c r="D201" t="s">
        <v>40</v>
      </c>
      <c r="E201">
        <v>45461</v>
      </c>
      <c r="F201" s="1">
        <v>45467</v>
      </c>
      <c r="G201">
        <v>3</v>
      </c>
      <c r="H201">
        <v>758</v>
      </c>
      <c r="I201" t="s">
        <v>28</v>
      </c>
      <c r="J201" t="s">
        <v>550</v>
      </c>
      <c r="K201" t="s">
        <v>29</v>
      </c>
    </row>
    <row r="202" spans="1:11" x14ac:dyDescent="0.35">
      <c r="A202">
        <v>200</v>
      </c>
      <c r="B202" t="s">
        <v>246</v>
      </c>
      <c r="C202" t="s">
        <v>21</v>
      </c>
      <c r="D202" t="s">
        <v>40</v>
      </c>
      <c r="E202">
        <v>45464</v>
      </c>
      <c r="F202" s="1">
        <v>45468</v>
      </c>
      <c r="G202">
        <v>5</v>
      </c>
      <c r="H202">
        <v>591</v>
      </c>
      <c r="I202" t="s">
        <v>14</v>
      </c>
      <c r="J202" t="s">
        <v>33</v>
      </c>
      <c r="K202" t="s">
        <v>15</v>
      </c>
    </row>
    <row r="203" spans="1:11" x14ac:dyDescent="0.35">
      <c r="A203">
        <v>201</v>
      </c>
      <c r="B203" t="s">
        <v>247</v>
      </c>
      <c r="C203" t="s">
        <v>17</v>
      </c>
      <c r="D203" t="s">
        <v>44</v>
      </c>
      <c r="E203">
        <v>45510</v>
      </c>
      <c r="F203" s="1">
        <v>45522</v>
      </c>
      <c r="G203">
        <v>9</v>
      </c>
      <c r="H203">
        <v>345</v>
      </c>
      <c r="I203" t="s">
        <v>28</v>
      </c>
      <c r="J203" t="s">
        <v>551</v>
      </c>
      <c r="K203" t="s">
        <v>46</v>
      </c>
    </row>
    <row r="204" spans="1:11" x14ac:dyDescent="0.35">
      <c r="A204">
        <v>202</v>
      </c>
      <c r="B204" t="s">
        <v>248</v>
      </c>
      <c r="C204" t="s">
        <v>24</v>
      </c>
      <c r="D204" t="s">
        <v>100</v>
      </c>
      <c r="E204">
        <v>45520</v>
      </c>
      <c r="F204" s="1">
        <v>45533</v>
      </c>
      <c r="G204">
        <v>5</v>
      </c>
      <c r="H204">
        <v>986</v>
      </c>
      <c r="I204" t="s">
        <v>28</v>
      </c>
      <c r="J204" t="s">
        <v>547</v>
      </c>
      <c r="K204" t="s">
        <v>15</v>
      </c>
    </row>
    <row r="205" spans="1:11" x14ac:dyDescent="0.35">
      <c r="A205">
        <v>203</v>
      </c>
      <c r="B205" t="s">
        <v>249</v>
      </c>
      <c r="C205" t="s">
        <v>17</v>
      </c>
      <c r="D205" t="s">
        <v>18</v>
      </c>
      <c r="E205">
        <v>45425</v>
      </c>
      <c r="F205" s="1">
        <v>45432</v>
      </c>
      <c r="G205">
        <v>6</v>
      </c>
      <c r="H205">
        <v>719</v>
      </c>
      <c r="I205" t="s">
        <v>28</v>
      </c>
      <c r="J205" t="s">
        <v>551</v>
      </c>
      <c r="K205" t="s">
        <v>46</v>
      </c>
    </row>
    <row r="206" spans="1:11" x14ac:dyDescent="0.35">
      <c r="A206">
        <v>204</v>
      </c>
      <c r="B206" t="s">
        <v>250</v>
      </c>
      <c r="C206" t="s">
        <v>12</v>
      </c>
      <c r="D206" t="s">
        <v>27</v>
      </c>
      <c r="E206">
        <v>45449</v>
      </c>
      <c r="F206" s="1">
        <v>45461</v>
      </c>
      <c r="G206">
        <v>3</v>
      </c>
      <c r="H206">
        <v>425</v>
      </c>
      <c r="I206" t="s">
        <v>28</v>
      </c>
      <c r="J206" t="s">
        <v>33</v>
      </c>
      <c r="K206" t="s">
        <v>46</v>
      </c>
    </row>
    <row r="207" spans="1:11" x14ac:dyDescent="0.35">
      <c r="A207">
        <v>205</v>
      </c>
      <c r="B207" t="s">
        <v>251</v>
      </c>
      <c r="C207" t="s">
        <v>31</v>
      </c>
      <c r="D207" t="s">
        <v>76</v>
      </c>
      <c r="E207">
        <v>45619</v>
      </c>
      <c r="F207" s="1">
        <v>45625</v>
      </c>
      <c r="G207">
        <v>5</v>
      </c>
      <c r="H207">
        <v>386</v>
      </c>
      <c r="I207" t="s">
        <v>14</v>
      </c>
      <c r="J207" t="s">
        <v>33</v>
      </c>
      <c r="K207" t="s">
        <v>46</v>
      </c>
    </row>
    <row r="208" spans="1:11" x14ac:dyDescent="0.35">
      <c r="A208">
        <v>206</v>
      </c>
      <c r="B208" t="s">
        <v>252</v>
      </c>
      <c r="C208" t="s">
        <v>17</v>
      </c>
      <c r="D208" t="s">
        <v>44</v>
      </c>
      <c r="E208">
        <v>45567</v>
      </c>
      <c r="F208" s="1">
        <v>45574</v>
      </c>
      <c r="G208">
        <v>4</v>
      </c>
      <c r="H208">
        <v>790</v>
      </c>
      <c r="I208" t="s">
        <v>14</v>
      </c>
      <c r="J208" t="s">
        <v>551</v>
      </c>
      <c r="K208" t="s">
        <v>19</v>
      </c>
    </row>
    <row r="209" spans="1:11" x14ac:dyDescent="0.35">
      <c r="A209">
        <v>207</v>
      </c>
      <c r="B209" t="s">
        <v>253</v>
      </c>
      <c r="C209" t="s">
        <v>17</v>
      </c>
      <c r="D209" t="s">
        <v>44</v>
      </c>
      <c r="E209">
        <v>45562</v>
      </c>
      <c r="F209" s="1">
        <v>45572</v>
      </c>
      <c r="G209">
        <v>6</v>
      </c>
      <c r="H209">
        <v>89</v>
      </c>
      <c r="I209" t="s">
        <v>14</v>
      </c>
      <c r="J209" t="s">
        <v>33</v>
      </c>
      <c r="K209" t="s">
        <v>19</v>
      </c>
    </row>
    <row r="210" spans="1:11" x14ac:dyDescent="0.35">
      <c r="A210">
        <v>208</v>
      </c>
      <c r="B210" t="s">
        <v>254</v>
      </c>
      <c r="C210" t="s">
        <v>17</v>
      </c>
      <c r="D210" t="s">
        <v>44</v>
      </c>
      <c r="E210">
        <v>45351</v>
      </c>
      <c r="F210" s="1">
        <v>45359</v>
      </c>
      <c r="G210">
        <v>4</v>
      </c>
      <c r="H210">
        <v>744</v>
      </c>
      <c r="I210" t="s">
        <v>14</v>
      </c>
      <c r="J210" t="s">
        <v>33</v>
      </c>
      <c r="K210" t="s">
        <v>19</v>
      </c>
    </row>
    <row r="211" spans="1:11" x14ac:dyDescent="0.35">
      <c r="A211">
        <v>209</v>
      </c>
      <c r="B211" t="s">
        <v>255</v>
      </c>
      <c r="C211" t="s">
        <v>17</v>
      </c>
      <c r="D211" t="s">
        <v>18</v>
      </c>
      <c r="E211">
        <v>45578</v>
      </c>
      <c r="F211" s="1">
        <v>45590</v>
      </c>
      <c r="G211">
        <v>8</v>
      </c>
      <c r="H211">
        <v>698</v>
      </c>
      <c r="I211" t="s">
        <v>28</v>
      </c>
      <c r="J211" t="s">
        <v>549</v>
      </c>
      <c r="K211" t="s">
        <v>46</v>
      </c>
    </row>
    <row r="212" spans="1:11" x14ac:dyDescent="0.35">
      <c r="A212">
        <v>210</v>
      </c>
      <c r="B212" t="s">
        <v>256</v>
      </c>
      <c r="C212" t="s">
        <v>12</v>
      </c>
      <c r="D212" t="s">
        <v>27</v>
      </c>
      <c r="E212">
        <v>45422</v>
      </c>
      <c r="F212" s="1">
        <v>45425</v>
      </c>
      <c r="G212">
        <v>1</v>
      </c>
      <c r="H212">
        <v>773</v>
      </c>
      <c r="I212" t="s">
        <v>14</v>
      </c>
      <c r="J212" t="s">
        <v>551</v>
      </c>
      <c r="K212" t="s">
        <v>46</v>
      </c>
    </row>
    <row r="213" spans="1:11" x14ac:dyDescent="0.35">
      <c r="A213">
        <v>211</v>
      </c>
      <c r="B213" t="s">
        <v>257</v>
      </c>
      <c r="C213" t="s">
        <v>24</v>
      </c>
      <c r="D213" t="s">
        <v>38</v>
      </c>
      <c r="E213">
        <v>45485</v>
      </c>
      <c r="F213" s="1">
        <v>45490</v>
      </c>
      <c r="G213">
        <v>7</v>
      </c>
      <c r="H213">
        <v>92</v>
      </c>
      <c r="I213" t="s">
        <v>14</v>
      </c>
      <c r="J213" t="s">
        <v>33</v>
      </c>
      <c r="K213" t="s">
        <v>15</v>
      </c>
    </row>
    <row r="214" spans="1:11" x14ac:dyDescent="0.35">
      <c r="A214">
        <v>212</v>
      </c>
      <c r="B214" t="s">
        <v>258</v>
      </c>
      <c r="C214" t="s">
        <v>31</v>
      </c>
      <c r="D214" t="s">
        <v>76</v>
      </c>
      <c r="E214">
        <v>45383</v>
      </c>
      <c r="F214" s="1">
        <v>45394</v>
      </c>
      <c r="G214">
        <v>9</v>
      </c>
      <c r="H214">
        <v>412</v>
      </c>
      <c r="I214" t="s">
        <v>28</v>
      </c>
      <c r="J214" t="s">
        <v>33</v>
      </c>
      <c r="K214" t="s">
        <v>19</v>
      </c>
    </row>
    <row r="215" spans="1:11" x14ac:dyDescent="0.35">
      <c r="A215">
        <v>213</v>
      </c>
      <c r="B215" t="s">
        <v>259</v>
      </c>
      <c r="C215" t="s">
        <v>21</v>
      </c>
      <c r="D215" t="s">
        <v>40</v>
      </c>
      <c r="E215">
        <v>45308</v>
      </c>
      <c r="F215" s="1">
        <v>45318</v>
      </c>
      <c r="G215">
        <v>7</v>
      </c>
      <c r="H215">
        <v>639</v>
      </c>
      <c r="I215" t="s">
        <v>14</v>
      </c>
      <c r="J215" t="s">
        <v>549</v>
      </c>
      <c r="K215" t="s">
        <v>19</v>
      </c>
    </row>
    <row r="216" spans="1:11" x14ac:dyDescent="0.35">
      <c r="A216">
        <v>214</v>
      </c>
      <c r="B216" t="s">
        <v>260</v>
      </c>
      <c r="C216" t="s">
        <v>21</v>
      </c>
      <c r="D216" t="s">
        <v>40</v>
      </c>
      <c r="E216">
        <v>45343</v>
      </c>
      <c r="F216" s="1">
        <v>45356</v>
      </c>
      <c r="G216">
        <v>10</v>
      </c>
      <c r="H216">
        <v>44</v>
      </c>
      <c r="I216" t="s">
        <v>28</v>
      </c>
      <c r="J216" t="s">
        <v>550</v>
      </c>
      <c r="K216" t="s">
        <v>29</v>
      </c>
    </row>
    <row r="217" spans="1:11" x14ac:dyDescent="0.35">
      <c r="A217">
        <v>215</v>
      </c>
      <c r="B217" t="s">
        <v>261</v>
      </c>
      <c r="C217" t="s">
        <v>12</v>
      </c>
      <c r="D217" t="s">
        <v>58</v>
      </c>
      <c r="E217">
        <v>45314</v>
      </c>
      <c r="F217" s="1">
        <v>45327</v>
      </c>
      <c r="G217">
        <v>7</v>
      </c>
      <c r="H217">
        <v>459</v>
      </c>
      <c r="I217" t="s">
        <v>14</v>
      </c>
      <c r="J217" t="s">
        <v>551</v>
      </c>
      <c r="K217" t="s">
        <v>19</v>
      </c>
    </row>
    <row r="218" spans="1:11" x14ac:dyDescent="0.35">
      <c r="A218">
        <v>216</v>
      </c>
      <c r="B218" t="s">
        <v>262</v>
      </c>
      <c r="C218" t="s">
        <v>17</v>
      </c>
      <c r="D218" t="s">
        <v>60</v>
      </c>
      <c r="E218">
        <v>45636</v>
      </c>
      <c r="F218" s="1">
        <v>45645</v>
      </c>
      <c r="G218">
        <v>6</v>
      </c>
      <c r="H218">
        <v>252</v>
      </c>
      <c r="I218" t="s">
        <v>28</v>
      </c>
      <c r="J218" t="s">
        <v>547</v>
      </c>
      <c r="K218" t="s">
        <v>29</v>
      </c>
    </row>
    <row r="219" spans="1:11" x14ac:dyDescent="0.35">
      <c r="A219">
        <v>217</v>
      </c>
      <c r="B219" t="s">
        <v>263</v>
      </c>
      <c r="C219" t="s">
        <v>17</v>
      </c>
      <c r="D219" t="s">
        <v>64</v>
      </c>
      <c r="E219">
        <v>45503</v>
      </c>
      <c r="F219" s="1">
        <v>45510</v>
      </c>
      <c r="G219">
        <v>5</v>
      </c>
      <c r="H219">
        <v>291</v>
      </c>
      <c r="I219" t="s">
        <v>28</v>
      </c>
      <c r="J219" t="s">
        <v>551</v>
      </c>
      <c r="K219" t="s">
        <v>29</v>
      </c>
    </row>
    <row r="220" spans="1:11" x14ac:dyDescent="0.35">
      <c r="A220">
        <v>218</v>
      </c>
      <c r="B220" t="s">
        <v>264</v>
      </c>
      <c r="C220" t="s">
        <v>21</v>
      </c>
      <c r="D220" t="s">
        <v>22</v>
      </c>
      <c r="E220">
        <v>45576</v>
      </c>
      <c r="F220" s="1">
        <v>45584</v>
      </c>
      <c r="G220">
        <v>8</v>
      </c>
      <c r="H220">
        <v>58</v>
      </c>
      <c r="I220" t="s">
        <v>28</v>
      </c>
      <c r="J220" t="s">
        <v>547</v>
      </c>
      <c r="K220" t="s">
        <v>46</v>
      </c>
    </row>
    <row r="221" spans="1:11" x14ac:dyDescent="0.35">
      <c r="A221">
        <v>219</v>
      </c>
      <c r="B221" t="s">
        <v>265</v>
      </c>
      <c r="C221" t="s">
        <v>31</v>
      </c>
      <c r="D221" t="s">
        <v>50</v>
      </c>
      <c r="E221">
        <v>45501</v>
      </c>
      <c r="F221" s="1">
        <v>45513</v>
      </c>
      <c r="G221">
        <v>3</v>
      </c>
      <c r="H221">
        <v>317</v>
      </c>
      <c r="I221" t="s">
        <v>28</v>
      </c>
      <c r="J221" t="s">
        <v>550</v>
      </c>
      <c r="K221" t="s">
        <v>29</v>
      </c>
    </row>
    <row r="222" spans="1:11" x14ac:dyDescent="0.35">
      <c r="A222">
        <v>220</v>
      </c>
      <c r="B222" t="s">
        <v>266</v>
      </c>
      <c r="C222" t="s">
        <v>12</v>
      </c>
      <c r="D222" t="s">
        <v>36</v>
      </c>
      <c r="E222">
        <v>45389</v>
      </c>
      <c r="F222" s="1">
        <v>45401</v>
      </c>
      <c r="G222">
        <v>1</v>
      </c>
      <c r="H222">
        <v>284</v>
      </c>
      <c r="I222" t="s">
        <v>28</v>
      </c>
      <c r="J222" t="s">
        <v>550</v>
      </c>
      <c r="K222" t="s">
        <v>15</v>
      </c>
    </row>
    <row r="223" spans="1:11" x14ac:dyDescent="0.35">
      <c r="A223">
        <v>221</v>
      </c>
      <c r="B223" t="s">
        <v>267</v>
      </c>
      <c r="C223" t="s">
        <v>12</v>
      </c>
      <c r="D223" t="s">
        <v>13</v>
      </c>
      <c r="E223">
        <v>45388</v>
      </c>
      <c r="F223" s="1">
        <v>45391</v>
      </c>
      <c r="G223">
        <v>10</v>
      </c>
      <c r="H223">
        <v>751</v>
      </c>
      <c r="I223" t="s">
        <v>14</v>
      </c>
      <c r="J223" t="s">
        <v>33</v>
      </c>
      <c r="K223" t="s">
        <v>29</v>
      </c>
    </row>
    <row r="224" spans="1:11" x14ac:dyDescent="0.35">
      <c r="A224">
        <v>222</v>
      </c>
      <c r="B224" t="s">
        <v>268</v>
      </c>
      <c r="C224" t="s">
        <v>24</v>
      </c>
      <c r="D224" t="s">
        <v>100</v>
      </c>
      <c r="E224">
        <v>45462</v>
      </c>
      <c r="F224" s="1">
        <v>45476</v>
      </c>
      <c r="G224">
        <v>5</v>
      </c>
      <c r="H224">
        <v>989</v>
      </c>
      <c r="I224" t="s">
        <v>14</v>
      </c>
      <c r="J224" t="s">
        <v>551</v>
      </c>
      <c r="K224" t="s">
        <v>15</v>
      </c>
    </row>
    <row r="225" spans="1:11" x14ac:dyDescent="0.35">
      <c r="A225">
        <v>223</v>
      </c>
      <c r="B225" t="s">
        <v>269</v>
      </c>
      <c r="C225" t="s">
        <v>12</v>
      </c>
      <c r="D225" t="s">
        <v>27</v>
      </c>
      <c r="E225">
        <v>45416</v>
      </c>
      <c r="F225" s="1">
        <v>45429</v>
      </c>
      <c r="G225">
        <v>10</v>
      </c>
      <c r="H225">
        <v>730</v>
      </c>
      <c r="I225" t="s">
        <v>14</v>
      </c>
      <c r="J225" t="s">
        <v>551</v>
      </c>
      <c r="K225" t="s">
        <v>15</v>
      </c>
    </row>
    <row r="226" spans="1:11" x14ac:dyDescent="0.35">
      <c r="A226">
        <v>224</v>
      </c>
      <c r="B226" t="s">
        <v>270</v>
      </c>
      <c r="C226" t="s">
        <v>21</v>
      </c>
      <c r="D226" t="s">
        <v>83</v>
      </c>
      <c r="E226">
        <v>45452</v>
      </c>
      <c r="F226" s="1">
        <v>45462</v>
      </c>
      <c r="G226">
        <v>7</v>
      </c>
      <c r="H226">
        <v>56</v>
      </c>
      <c r="I226" t="s">
        <v>28</v>
      </c>
      <c r="J226" t="s">
        <v>33</v>
      </c>
      <c r="K226" t="s">
        <v>29</v>
      </c>
    </row>
    <row r="227" spans="1:11" x14ac:dyDescent="0.35">
      <c r="A227">
        <v>225</v>
      </c>
      <c r="B227" t="s">
        <v>271</v>
      </c>
      <c r="C227" t="s">
        <v>21</v>
      </c>
      <c r="D227" t="s">
        <v>40</v>
      </c>
      <c r="E227">
        <v>45425</v>
      </c>
      <c r="F227" s="1">
        <v>45428</v>
      </c>
      <c r="G227">
        <v>9</v>
      </c>
      <c r="H227">
        <v>967</v>
      </c>
      <c r="I227" t="s">
        <v>28</v>
      </c>
      <c r="J227" t="s">
        <v>33</v>
      </c>
      <c r="K227" t="s">
        <v>15</v>
      </c>
    </row>
    <row r="228" spans="1:11" x14ac:dyDescent="0.35">
      <c r="A228">
        <v>226</v>
      </c>
      <c r="B228" t="s">
        <v>272</v>
      </c>
      <c r="C228" t="s">
        <v>24</v>
      </c>
      <c r="D228" t="s">
        <v>25</v>
      </c>
      <c r="E228">
        <v>45370</v>
      </c>
      <c r="F228" s="1">
        <v>45390</v>
      </c>
      <c r="G228">
        <v>4</v>
      </c>
      <c r="H228">
        <v>347</v>
      </c>
      <c r="I228" t="s">
        <v>28</v>
      </c>
      <c r="J228" t="s">
        <v>551</v>
      </c>
      <c r="K228" t="s">
        <v>19</v>
      </c>
    </row>
    <row r="229" spans="1:11" x14ac:dyDescent="0.35">
      <c r="A229">
        <v>227</v>
      </c>
      <c r="B229" t="s">
        <v>273</v>
      </c>
      <c r="C229" t="s">
        <v>21</v>
      </c>
      <c r="D229" t="s">
        <v>22</v>
      </c>
      <c r="E229">
        <v>45573</v>
      </c>
      <c r="F229" s="1">
        <v>45582</v>
      </c>
      <c r="G229">
        <v>6</v>
      </c>
      <c r="H229">
        <v>273</v>
      </c>
      <c r="I229" t="s">
        <v>28</v>
      </c>
      <c r="J229" t="s">
        <v>549</v>
      </c>
      <c r="K229" t="s">
        <v>46</v>
      </c>
    </row>
    <row r="230" spans="1:11" x14ac:dyDescent="0.35">
      <c r="A230">
        <v>228</v>
      </c>
      <c r="B230" t="s">
        <v>274</v>
      </c>
      <c r="C230" t="s">
        <v>21</v>
      </c>
      <c r="D230" t="s">
        <v>52</v>
      </c>
      <c r="E230">
        <v>45620</v>
      </c>
      <c r="F230" s="1">
        <v>45623</v>
      </c>
      <c r="G230">
        <v>1</v>
      </c>
      <c r="H230">
        <v>546</v>
      </c>
      <c r="I230" t="s">
        <v>28</v>
      </c>
      <c r="J230" t="s">
        <v>551</v>
      </c>
      <c r="K230" t="s">
        <v>29</v>
      </c>
    </row>
    <row r="231" spans="1:11" x14ac:dyDescent="0.35">
      <c r="A231">
        <v>229</v>
      </c>
      <c r="B231" t="s">
        <v>275</v>
      </c>
      <c r="C231" t="s">
        <v>12</v>
      </c>
      <c r="D231" t="s">
        <v>13</v>
      </c>
      <c r="E231">
        <v>45503</v>
      </c>
      <c r="F231" s="1">
        <v>45514</v>
      </c>
      <c r="G231">
        <v>3</v>
      </c>
      <c r="H231">
        <v>872</v>
      </c>
      <c r="I231" t="s">
        <v>14</v>
      </c>
      <c r="J231" t="s">
        <v>33</v>
      </c>
      <c r="K231" t="s">
        <v>29</v>
      </c>
    </row>
    <row r="232" spans="1:11" x14ac:dyDescent="0.35">
      <c r="A232">
        <v>230</v>
      </c>
      <c r="B232" t="s">
        <v>276</v>
      </c>
      <c r="C232" t="s">
        <v>21</v>
      </c>
      <c r="D232" t="s">
        <v>40</v>
      </c>
      <c r="E232">
        <v>45403</v>
      </c>
      <c r="F232" s="1">
        <v>45410</v>
      </c>
      <c r="G232">
        <v>9</v>
      </c>
      <c r="H232">
        <v>476</v>
      </c>
      <c r="I232" t="s">
        <v>28</v>
      </c>
      <c r="J232" t="s">
        <v>547</v>
      </c>
      <c r="K232" t="s">
        <v>46</v>
      </c>
    </row>
    <row r="233" spans="1:11" x14ac:dyDescent="0.35">
      <c r="A233">
        <v>231</v>
      </c>
      <c r="B233" t="s">
        <v>277</v>
      </c>
      <c r="C233" t="s">
        <v>17</v>
      </c>
      <c r="D233" t="s">
        <v>44</v>
      </c>
      <c r="E233">
        <v>45629</v>
      </c>
      <c r="F233" s="1">
        <v>45638</v>
      </c>
      <c r="G233">
        <v>8</v>
      </c>
      <c r="H233">
        <v>26</v>
      </c>
      <c r="I233" t="s">
        <v>28</v>
      </c>
      <c r="J233" t="s">
        <v>551</v>
      </c>
      <c r="K233" t="s">
        <v>29</v>
      </c>
    </row>
    <row r="234" spans="1:11" x14ac:dyDescent="0.35">
      <c r="A234">
        <v>232</v>
      </c>
      <c r="B234" t="s">
        <v>278</v>
      </c>
      <c r="C234" t="s">
        <v>12</v>
      </c>
      <c r="D234" t="s">
        <v>36</v>
      </c>
      <c r="E234">
        <v>45649</v>
      </c>
      <c r="F234" s="1">
        <v>45662</v>
      </c>
      <c r="G234">
        <v>7</v>
      </c>
      <c r="H234">
        <v>835</v>
      </c>
      <c r="I234" t="s">
        <v>14</v>
      </c>
      <c r="J234" t="s">
        <v>551</v>
      </c>
      <c r="K234" t="s">
        <v>46</v>
      </c>
    </row>
    <row r="235" spans="1:11" x14ac:dyDescent="0.35">
      <c r="A235">
        <v>233</v>
      </c>
      <c r="B235" t="s">
        <v>279</v>
      </c>
      <c r="C235" t="s">
        <v>31</v>
      </c>
      <c r="D235" t="s">
        <v>50</v>
      </c>
      <c r="E235">
        <v>45332</v>
      </c>
      <c r="F235" s="1">
        <v>45345</v>
      </c>
      <c r="G235">
        <v>6</v>
      </c>
      <c r="H235">
        <v>992</v>
      </c>
      <c r="I235" t="s">
        <v>28</v>
      </c>
      <c r="J235" t="s">
        <v>550</v>
      </c>
      <c r="K235" t="s">
        <v>15</v>
      </c>
    </row>
    <row r="236" spans="1:11" x14ac:dyDescent="0.35">
      <c r="A236">
        <v>234</v>
      </c>
      <c r="B236" t="s">
        <v>280</v>
      </c>
      <c r="C236" t="s">
        <v>21</v>
      </c>
      <c r="D236" t="s">
        <v>54</v>
      </c>
      <c r="E236">
        <v>45445</v>
      </c>
      <c r="F236" s="1">
        <v>45454</v>
      </c>
      <c r="G236">
        <v>2</v>
      </c>
      <c r="H236">
        <v>679</v>
      </c>
      <c r="I236" t="s">
        <v>14</v>
      </c>
      <c r="J236" t="s">
        <v>549</v>
      </c>
      <c r="K236" t="s">
        <v>15</v>
      </c>
    </row>
    <row r="237" spans="1:11" x14ac:dyDescent="0.35">
      <c r="A237">
        <v>235</v>
      </c>
      <c r="B237" t="s">
        <v>281</v>
      </c>
      <c r="C237" t="s">
        <v>24</v>
      </c>
      <c r="D237" t="s">
        <v>38</v>
      </c>
      <c r="E237">
        <v>45485</v>
      </c>
      <c r="F237" s="1">
        <v>45498</v>
      </c>
      <c r="G237">
        <v>9</v>
      </c>
      <c r="H237">
        <v>497</v>
      </c>
      <c r="I237" t="s">
        <v>28</v>
      </c>
      <c r="J237" t="s">
        <v>551</v>
      </c>
      <c r="K237" t="s">
        <v>46</v>
      </c>
    </row>
    <row r="238" spans="1:11" x14ac:dyDescent="0.35">
      <c r="A238">
        <v>236</v>
      </c>
      <c r="B238" t="s">
        <v>282</v>
      </c>
      <c r="C238" t="s">
        <v>21</v>
      </c>
      <c r="D238" t="s">
        <v>40</v>
      </c>
      <c r="E238">
        <v>45547</v>
      </c>
      <c r="F238" s="1">
        <v>45555</v>
      </c>
      <c r="G238">
        <v>7</v>
      </c>
      <c r="H238">
        <v>670</v>
      </c>
      <c r="I238" t="s">
        <v>28</v>
      </c>
      <c r="J238" t="s">
        <v>549</v>
      </c>
      <c r="K238" t="s">
        <v>46</v>
      </c>
    </row>
    <row r="239" spans="1:11" x14ac:dyDescent="0.35">
      <c r="A239">
        <v>237</v>
      </c>
      <c r="B239" t="s">
        <v>283</v>
      </c>
      <c r="C239" t="s">
        <v>31</v>
      </c>
      <c r="D239" t="s">
        <v>76</v>
      </c>
      <c r="E239">
        <v>45330</v>
      </c>
      <c r="F239" s="1">
        <v>45343</v>
      </c>
      <c r="G239">
        <v>5</v>
      </c>
      <c r="H239">
        <v>930</v>
      </c>
      <c r="I239" t="s">
        <v>28</v>
      </c>
      <c r="J239" t="s">
        <v>33</v>
      </c>
      <c r="K239" t="s">
        <v>19</v>
      </c>
    </row>
    <row r="240" spans="1:11" x14ac:dyDescent="0.35">
      <c r="A240">
        <v>238</v>
      </c>
      <c r="B240" t="s">
        <v>284</v>
      </c>
      <c r="C240" t="s">
        <v>12</v>
      </c>
      <c r="D240" t="s">
        <v>58</v>
      </c>
      <c r="E240">
        <v>45453</v>
      </c>
      <c r="F240" s="1">
        <v>45462</v>
      </c>
      <c r="G240">
        <v>1</v>
      </c>
      <c r="H240">
        <v>994</v>
      </c>
      <c r="I240" t="s">
        <v>14</v>
      </c>
      <c r="J240" t="s">
        <v>551</v>
      </c>
      <c r="K240" t="s">
        <v>15</v>
      </c>
    </row>
    <row r="241" spans="1:11" x14ac:dyDescent="0.35">
      <c r="A241">
        <v>239</v>
      </c>
      <c r="B241" t="s">
        <v>285</v>
      </c>
      <c r="C241" t="s">
        <v>17</v>
      </c>
      <c r="D241" t="s">
        <v>56</v>
      </c>
      <c r="E241">
        <v>45488</v>
      </c>
      <c r="F241" s="1">
        <v>45501</v>
      </c>
      <c r="G241">
        <v>3</v>
      </c>
      <c r="H241">
        <v>819</v>
      </c>
      <c r="I241" t="s">
        <v>28</v>
      </c>
      <c r="J241" t="s">
        <v>33</v>
      </c>
      <c r="K241" t="s">
        <v>15</v>
      </c>
    </row>
    <row r="242" spans="1:11" x14ac:dyDescent="0.35">
      <c r="A242">
        <v>240</v>
      </c>
      <c r="B242" t="s">
        <v>286</v>
      </c>
      <c r="C242" t="s">
        <v>17</v>
      </c>
      <c r="D242" t="s">
        <v>60</v>
      </c>
      <c r="E242">
        <v>45596</v>
      </c>
      <c r="F242" s="1">
        <v>45610</v>
      </c>
      <c r="G242">
        <v>7</v>
      </c>
      <c r="H242">
        <v>802</v>
      </c>
      <c r="I242" t="s">
        <v>28</v>
      </c>
      <c r="J242" t="s">
        <v>547</v>
      </c>
      <c r="K242" t="s">
        <v>19</v>
      </c>
    </row>
    <row r="243" spans="1:11" x14ac:dyDescent="0.35">
      <c r="A243">
        <v>241</v>
      </c>
      <c r="B243" t="s">
        <v>287</v>
      </c>
      <c r="C243" t="s">
        <v>21</v>
      </c>
      <c r="D243" t="s">
        <v>40</v>
      </c>
      <c r="E243">
        <v>45334</v>
      </c>
      <c r="F243" s="1">
        <v>45345</v>
      </c>
      <c r="G243">
        <v>5</v>
      </c>
      <c r="H243">
        <v>167</v>
      </c>
      <c r="I243" t="s">
        <v>28</v>
      </c>
      <c r="J243" t="s">
        <v>550</v>
      </c>
      <c r="K243" t="s">
        <v>29</v>
      </c>
    </row>
    <row r="244" spans="1:11" x14ac:dyDescent="0.35">
      <c r="A244">
        <v>242</v>
      </c>
      <c r="B244" t="s">
        <v>288</v>
      </c>
      <c r="C244" t="s">
        <v>17</v>
      </c>
      <c r="D244" t="s">
        <v>18</v>
      </c>
      <c r="E244">
        <v>45597</v>
      </c>
      <c r="F244" s="1">
        <v>45602</v>
      </c>
      <c r="G244">
        <v>10</v>
      </c>
      <c r="H244">
        <v>813</v>
      </c>
      <c r="I244" t="s">
        <v>14</v>
      </c>
      <c r="J244" t="s">
        <v>547</v>
      </c>
      <c r="K244" t="s">
        <v>15</v>
      </c>
    </row>
    <row r="245" spans="1:11" x14ac:dyDescent="0.35">
      <c r="A245">
        <v>243</v>
      </c>
      <c r="B245" t="s">
        <v>289</v>
      </c>
      <c r="C245" t="s">
        <v>31</v>
      </c>
      <c r="D245" t="s">
        <v>50</v>
      </c>
      <c r="E245">
        <v>45490</v>
      </c>
      <c r="F245" s="1">
        <v>45496</v>
      </c>
      <c r="G245">
        <v>2</v>
      </c>
      <c r="H245">
        <v>752</v>
      </c>
      <c r="I245" t="s">
        <v>28</v>
      </c>
      <c r="J245" t="s">
        <v>33</v>
      </c>
      <c r="K245" t="s">
        <v>19</v>
      </c>
    </row>
    <row r="246" spans="1:11" x14ac:dyDescent="0.35">
      <c r="A246">
        <v>244</v>
      </c>
      <c r="B246" t="s">
        <v>290</v>
      </c>
      <c r="C246" t="s">
        <v>31</v>
      </c>
      <c r="D246" t="s">
        <v>50</v>
      </c>
      <c r="E246">
        <v>45331</v>
      </c>
      <c r="F246" s="1">
        <v>45335</v>
      </c>
      <c r="G246">
        <v>6</v>
      </c>
      <c r="H246">
        <v>267</v>
      </c>
      <c r="I246" t="s">
        <v>28</v>
      </c>
      <c r="J246" t="s">
        <v>548</v>
      </c>
      <c r="K246" t="s">
        <v>29</v>
      </c>
    </row>
    <row r="247" spans="1:11" x14ac:dyDescent="0.35">
      <c r="A247">
        <v>245</v>
      </c>
      <c r="B247" t="s">
        <v>291</v>
      </c>
      <c r="C247" t="s">
        <v>31</v>
      </c>
      <c r="D247" t="s">
        <v>32</v>
      </c>
      <c r="E247">
        <v>45486</v>
      </c>
      <c r="F247" s="1">
        <v>45492</v>
      </c>
      <c r="G247">
        <v>6</v>
      </c>
      <c r="H247">
        <v>460</v>
      </c>
      <c r="I247" t="s">
        <v>28</v>
      </c>
      <c r="J247" t="s">
        <v>547</v>
      </c>
      <c r="K247" t="s">
        <v>15</v>
      </c>
    </row>
    <row r="248" spans="1:11" x14ac:dyDescent="0.35">
      <c r="A248">
        <v>246</v>
      </c>
      <c r="B248" t="s">
        <v>292</v>
      </c>
      <c r="C248" t="s">
        <v>31</v>
      </c>
      <c r="D248" t="s">
        <v>42</v>
      </c>
      <c r="E248">
        <v>45495</v>
      </c>
      <c r="F248" s="1">
        <v>45498</v>
      </c>
      <c r="G248">
        <v>6</v>
      </c>
      <c r="H248">
        <v>308</v>
      </c>
      <c r="I248" t="s">
        <v>28</v>
      </c>
      <c r="J248" t="s">
        <v>552</v>
      </c>
      <c r="K248" t="s">
        <v>29</v>
      </c>
    </row>
    <row r="249" spans="1:11" x14ac:dyDescent="0.35">
      <c r="A249">
        <v>247</v>
      </c>
      <c r="B249" t="s">
        <v>293</v>
      </c>
      <c r="C249" t="s">
        <v>12</v>
      </c>
      <c r="D249" t="s">
        <v>36</v>
      </c>
      <c r="E249">
        <v>45394</v>
      </c>
      <c r="F249" s="1">
        <v>45403</v>
      </c>
      <c r="G249">
        <v>10</v>
      </c>
      <c r="H249">
        <v>568</v>
      </c>
      <c r="I249" t="s">
        <v>14</v>
      </c>
      <c r="J249" t="s">
        <v>548</v>
      </c>
      <c r="K249" t="s">
        <v>46</v>
      </c>
    </row>
    <row r="250" spans="1:11" x14ac:dyDescent="0.35">
      <c r="A250">
        <v>248</v>
      </c>
      <c r="B250" t="s">
        <v>294</v>
      </c>
      <c r="C250" t="s">
        <v>24</v>
      </c>
      <c r="D250" t="s">
        <v>100</v>
      </c>
      <c r="E250">
        <v>45616</v>
      </c>
      <c r="F250" s="1">
        <v>45638</v>
      </c>
      <c r="G250">
        <v>5</v>
      </c>
      <c r="H250">
        <v>257</v>
      </c>
      <c r="I250" t="s">
        <v>28</v>
      </c>
      <c r="J250" t="s">
        <v>547</v>
      </c>
      <c r="K250" t="s">
        <v>46</v>
      </c>
    </row>
    <row r="251" spans="1:11" x14ac:dyDescent="0.35">
      <c r="A251">
        <v>249</v>
      </c>
      <c r="B251" t="s">
        <v>295</v>
      </c>
      <c r="C251" t="s">
        <v>17</v>
      </c>
      <c r="D251" t="s">
        <v>60</v>
      </c>
      <c r="E251">
        <v>45646</v>
      </c>
      <c r="F251" s="1">
        <v>45654</v>
      </c>
      <c r="G251">
        <v>7</v>
      </c>
      <c r="H251">
        <v>566</v>
      </c>
      <c r="I251" t="s">
        <v>28</v>
      </c>
      <c r="J251" t="s">
        <v>548</v>
      </c>
      <c r="K251" t="s">
        <v>15</v>
      </c>
    </row>
    <row r="252" spans="1:11" x14ac:dyDescent="0.35">
      <c r="A252">
        <v>250</v>
      </c>
      <c r="B252" t="s">
        <v>296</v>
      </c>
      <c r="C252" t="s">
        <v>17</v>
      </c>
      <c r="D252" t="s">
        <v>60</v>
      </c>
      <c r="E252">
        <v>45618</v>
      </c>
      <c r="F252" s="1">
        <v>45631</v>
      </c>
      <c r="G252">
        <v>2</v>
      </c>
      <c r="H252">
        <v>121</v>
      </c>
      <c r="I252" t="s">
        <v>28</v>
      </c>
      <c r="J252" t="s">
        <v>549</v>
      </c>
      <c r="K252" t="s">
        <v>46</v>
      </c>
    </row>
    <row r="253" spans="1:11" x14ac:dyDescent="0.35">
      <c r="A253">
        <v>251</v>
      </c>
      <c r="B253" t="s">
        <v>297</v>
      </c>
      <c r="C253" t="s">
        <v>24</v>
      </c>
      <c r="D253" t="s">
        <v>115</v>
      </c>
      <c r="E253">
        <v>45297</v>
      </c>
      <c r="F253" s="1">
        <v>45305</v>
      </c>
      <c r="G253">
        <v>2</v>
      </c>
      <c r="H253">
        <v>274</v>
      </c>
      <c r="I253" t="s">
        <v>28</v>
      </c>
      <c r="J253" t="s">
        <v>548</v>
      </c>
      <c r="K253" t="s">
        <v>19</v>
      </c>
    </row>
    <row r="254" spans="1:11" x14ac:dyDescent="0.35">
      <c r="A254">
        <v>252</v>
      </c>
      <c r="B254" t="s">
        <v>298</v>
      </c>
      <c r="C254" t="s">
        <v>12</v>
      </c>
      <c r="D254" t="s">
        <v>27</v>
      </c>
      <c r="E254">
        <v>45648</v>
      </c>
      <c r="F254" s="1">
        <v>45656</v>
      </c>
      <c r="G254">
        <v>8</v>
      </c>
      <c r="H254">
        <v>336</v>
      </c>
      <c r="I254" t="s">
        <v>14</v>
      </c>
      <c r="J254" t="s">
        <v>548</v>
      </c>
      <c r="K254" t="s">
        <v>19</v>
      </c>
    </row>
    <row r="255" spans="1:11" x14ac:dyDescent="0.35">
      <c r="A255">
        <v>253</v>
      </c>
      <c r="B255" t="s">
        <v>299</v>
      </c>
      <c r="C255" t="s">
        <v>12</v>
      </c>
      <c r="D255" t="s">
        <v>13</v>
      </c>
      <c r="E255">
        <v>45467</v>
      </c>
      <c r="F255" s="1">
        <v>45472</v>
      </c>
      <c r="G255">
        <v>2</v>
      </c>
      <c r="H255">
        <v>703</v>
      </c>
      <c r="I255" t="s">
        <v>28</v>
      </c>
      <c r="J255" t="s">
        <v>549</v>
      </c>
      <c r="K255" t="s">
        <v>29</v>
      </c>
    </row>
    <row r="256" spans="1:11" x14ac:dyDescent="0.35">
      <c r="A256">
        <v>254</v>
      </c>
      <c r="B256" t="s">
        <v>300</v>
      </c>
      <c r="C256" t="s">
        <v>12</v>
      </c>
      <c r="D256" t="s">
        <v>36</v>
      </c>
      <c r="E256">
        <v>45393</v>
      </c>
      <c r="F256" s="1">
        <v>45403</v>
      </c>
      <c r="G256">
        <v>8</v>
      </c>
      <c r="H256">
        <v>616</v>
      </c>
      <c r="I256" t="s">
        <v>14</v>
      </c>
      <c r="J256" t="s">
        <v>550</v>
      </c>
      <c r="K256" t="s">
        <v>29</v>
      </c>
    </row>
    <row r="257" spans="1:11" x14ac:dyDescent="0.35">
      <c r="A257">
        <v>255</v>
      </c>
      <c r="B257" t="s">
        <v>301</v>
      </c>
      <c r="C257" t="s">
        <v>21</v>
      </c>
      <c r="D257" t="s">
        <v>54</v>
      </c>
      <c r="E257">
        <v>45434</v>
      </c>
      <c r="F257" s="1">
        <v>45448</v>
      </c>
      <c r="G257">
        <v>2</v>
      </c>
      <c r="H257">
        <v>601</v>
      </c>
      <c r="I257" t="s">
        <v>14</v>
      </c>
      <c r="J257" t="s">
        <v>548</v>
      </c>
      <c r="K257" t="s">
        <v>19</v>
      </c>
    </row>
    <row r="258" spans="1:11" x14ac:dyDescent="0.35">
      <c r="A258">
        <v>256</v>
      </c>
      <c r="B258" t="s">
        <v>302</v>
      </c>
      <c r="C258" t="s">
        <v>31</v>
      </c>
      <c r="D258" t="s">
        <v>79</v>
      </c>
      <c r="E258">
        <v>45392</v>
      </c>
      <c r="F258" s="1">
        <v>45402</v>
      </c>
      <c r="G258">
        <v>8</v>
      </c>
      <c r="H258">
        <v>126</v>
      </c>
      <c r="I258" t="s">
        <v>28</v>
      </c>
      <c r="J258" t="s">
        <v>547</v>
      </c>
      <c r="K258" t="s">
        <v>15</v>
      </c>
    </row>
    <row r="259" spans="1:11" x14ac:dyDescent="0.35">
      <c r="A259">
        <v>257</v>
      </c>
      <c r="B259" t="s">
        <v>303</v>
      </c>
      <c r="C259" t="s">
        <v>31</v>
      </c>
      <c r="D259" t="s">
        <v>50</v>
      </c>
      <c r="E259">
        <v>45608</v>
      </c>
      <c r="F259" s="1">
        <v>45620</v>
      </c>
      <c r="G259">
        <v>3</v>
      </c>
      <c r="H259">
        <v>843</v>
      </c>
      <c r="I259" t="s">
        <v>28</v>
      </c>
      <c r="J259" t="s">
        <v>552</v>
      </c>
      <c r="K259" t="s">
        <v>19</v>
      </c>
    </row>
    <row r="260" spans="1:11" x14ac:dyDescent="0.35">
      <c r="A260">
        <v>258</v>
      </c>
      <c r="B260" t="s">
        <v>304</v>
      </c>
      <c r="C260" t="s">
        <v>12</v>
      </c>
      <c r="D260" t="s">
        <v>58</v>
      </c>
      <c r="E260">
        <v>45483</v>
      </c>
      <c r="F260" s="1">
        <v>45487</v>
      </c>
      <c r="G260">
        <v>3</v>
      </c>
      <c r="H260">
        <v>533</v>
      </c>
      <c r="I260" t="s">
        <v>28</v>
      </c>
      <c r="J260" t="s">
        <v>550</v>
      </c>
      <c r="K260" t="s">
        <v>19</v>
      </c>
    </row>
    <row r="261" spans="1:11" x14ac:dyDescent="0.35">
      <c r="A261">
        <v>259</v>
      </c>
      <c r="B261" t="s">
        <v>305</v>
      </c>
      <c r="C261" t="s">
        <v>21</v>
      </c>
      <c r="D261" t="s">
        <v>52</v>
      </c>
      <c r="E261">
        <v>45488</v>
      </c>
      <c r="F261" s="1">
        <v>45500</v>
      </c>
      <c r="G261">
        <v>7</v>
      </c>
      <c r="H261">
        <v>200</v>
      </c>
      <c r="I261" t="s">
        <v>28</v>
      </c>
      <c r="J261" t="s">
        <v>550</v>
      </c>
      <c r="K261" t="s">
        <v>46</v>
      </c>
    </row>
    <row r="262" spans="1:11" x14ac:dyDescent="0.35">
      <c r="A262">
        <v>260</v>
      </c>
      <c r="B262" t="s">
        <v>306</v>
      </c>
      <c r="C262" t="s">
        <v>24</v>
      </c>
      <c r="D262" t="s">
        <v>70</v>
      </c>
      <c r="E262">
        <v>45319</v>
      </c>
      <c r="F262" s="1">
        <v>45329</v>
      </c>
      <c r="G262">
        <v>6</v>
      </c>
      <c r="H262">
        <v>984</v>
      </c>
      <c r="I262" t="s">
        <v>14</v>
      </c>
      <c r="J262" t="s">
        <v>548</v>
      </c>
      <c r="K262" t="s">
        <v>46</v>
      </c>
    </row>
    <row r="263" spans="1:11" x14ac:dyDescent="0.35">
      <c r="A263">
        <v>261</v>
      </c>
      <c r="B263" t="s">
        <v>307</v>
      </c>
      <c r="C263" t="s">
        <v>21</v>
      </c>
      <c r="D263" t="s">
        <v>22</v>
      </c>
      <c r="E263">
        <v>45579</v>
      </c>
      <c r="F263" s="1">
        <v>45593</v>
      </c>
      <c r="G263">
        <v>9</v>
      </c>
      <c r="H263">
        <v>678</v>
      </c>
      <c r="I263" t="s">
        <v>28</v>
      </c>
      <c r="J263" t="s">
        <v>550</v>
      </c>
      <c r="K263" t="s">
        <v>46</v>
      </c>
    </row>
    <row r="264" spans="1:11" x14ac:dyDescent="0.35">
      <c r="A264">
        <v>262</v>
      </c>
      <c r="B264" t="s">
        <v>308</v>
      </c>
      <c r="C264" t="s">
        <v>24</v>
      </c>
      <c r="D264" t="s">
        <v>38</v>
      </c>
      <c r="E264">
        <v>45655</v>
      </c>
      <c r="F264" s="1">
        <v>45659</v>
      </c>
      <c r="G264">
        <v>8</v>
      </c>
      <c r="H264">
        <v>510</v>
      </c>
      <c r="I264" t="s">
        <v>28</v>
      </c>
      <c r="J264" t="s">
        <v>548</v>
      </c>
      <c r="K264" t="s">
        <v>15</v>
      </c>
    </row>
    <row r="265" spans="1:11" x14ac:dyDescent="0.35">
      <c r="A265">
        <v>263</v>
      </c>
      <c r="B265" t="s">
        <v>309</v>
      </c>
      <c r="C265" t="s">
        <v>21</v>
      </c>
      <c r="D265" t="s">
        <v>22</v>
      </c>
      <c r="E265">
        <v>45581</v>
      </c>
      <c r="F265" s="1">
        <v>45594</v>
      </c>
      <c r="G265">
        <v>8</v>
      </c>
      <c r="H265">
        <v>572</v>
      </c>
      <c r="I265" t="s">
        <v>28</v>
      </c>
      <c r="J265" t="s">
        <v>552</v>
      </c>
      <c r="K265" t="s">
        <v>46</v>
      </c>
    </row>
    <row r="266" spans="1:11" x14ac:dyDescent="0.35">
      <c r="A266">
        <v>264</v>
      </c>
      <c r="B266" t="s">
        <v>310</v>
      </c>
      <c r="C266" t="s">
        <v>12</v>
      </c>
      <c r="D266" t="s">
        <v>96</v>
      </c>
      <c r="E266">
        <v>45570</v>
      </c>
      <c r="F266" s="1">
        <v>45574</v>
      </c>
      <c r="G266">
        <v>6</v>
      </c>
      <c r="H266">
        <v>565</v>
      </c>
      <c r="I266" t="s">
        <v>28</v>
      </c>
      <c r="J266" t="s">
        <v>549</v>
      </c>
      <c r="K266" t="s">
        <v>46</v>
      </c>
    </row>
    <row r="267" spans="1:11" x14ac:dyDescent="0.35">
      <c r="A267">
        <v>265</v>
      </c>
      <c r="B267" t="s">
        <v>311</v>
      </c>
      <c r="C267" t="s">
        <v>12</v>
      </c>
      <c r="D267" t="s">
        <v>58</v>
      </c>
      <c r="E267">
        <v>45399</v>
      </c>
      <c r="F267" s="1">
        <v>45406</v>
      </c>
      <c r="G267">
        <v>10</v>
      </c>
      <c r="H267">
        <v>715</v>
      </c>
      <c r="I267" t="s">
        <v>28</v>
      </c>
      <c r="J267" t="s">
        <v>547</v>
      </c>
      <c r="K267" t="s">
        <v>29</v>
      </c>
    </row>
    <row r="268" spans="1:11" x14ac:dyDescent="0.35">
      <c r="A268">
        <v>266</v>
      </c>
      <c r="B268" t="s">
        <v>312</v>
      </c>
      <c r="C268" t="s">
        <v>24</v>
      </c>
      <c r="D268" t="s">
        <v>100</v>
      </c>
      <c r="E268">
        <v>45607</v>
      </c>
      <c r="F268" s="1">
        <v>45620</v>
      </c>
      <c r="G268">
        <v>3</v>
      </c>
      <c r="H268">
        <v>813</v>
      </c>
      <c r="I268" t="s">
        <v>14</v>
      </c>
      <c r="J268" t="s">
        <v>548</v>
      </c>
      <c r="K268" t="s">
        <v>15</v>
      </c>
    </row>
    <row r="269" spans="1:11" x14ac:dyDescent="0.35">
      <c r="A269">
        <v>267</v>
      </c>
      <c r="B269" t="s">
        <v>313</v>
      </c>
      <c r="C269" t="s">
        <v>31</v>
      </c>
      <c r="D269" t="s">
        <v>79</v>
      </c>
      <c r="E269">
        <v>45585</v>
      </c>
      <c r="F269" s="1">
        <v>45596</v>
      </c>
      <c r="G269">
        <v>5</v>
      </c>
      <c r="H269">
        <v>985</v>
      </c>
      <c r="I269" t="s">
        <v>28</v>
      </c>
      <c r="J269" t="s">
        <v>549</v>
      </c>
      <c r="K269" t="s">
        <v>46</v>
      </c>
    </row>
    <row r="270" spans="1:11" x14ac:dyDescent="0.35">
      <c r="A270">
        <v>268</v>
      </c>
      <c r="B270" t="s">
        <v>314</v>
      </c>
      <c r="C270" t="s">
        <v>12</v>
      </c>
      <c r="D270" t="s">
        <v>58</v>
      </c>
      <c r="E270">
        <v>45502</v>
      </c>
      <c r="F270" s="1">
        <v>45508</v>
      </c>
      <c r="G270">
        <v>1</v>
      </c>
      <c r="H270">
        <v>293</v>
      </c>
      <c r="I270" t="s">
        <v>28</v>
      </c>
      <c r="J270" t="s">
        <v>549</v>
      </c>
      <c r="K270" t="s">
        <v>19</v>
      </c>
    </row>
    <row r="271" spans="1:11" x14ac:dyDescent="0.35">
      <c r="A271">
        <v>269</v>
      </c>
      <c r="B271" t="s">
        <v>315</v>
      </c>
      <c r="C271" t="s">
        <v>24</v>
      </c>
      <c r="D271" t="s">
        <v>25</v>
      </c>
      <c r="E271">
        <v>45589</v>
      </c>
      <c r="F271" s="1">
        <v>45595</v>
      </c>
      <c r="G271">
        <v>1</v>
      </c>
      <c r="H271">
        <v>899</v>
      </c>
      <c r="I271" t="s">
        <v>28</v>
      </c>
      <c r="J271" t="s">
        <v>549</v>
      </c>
      <c r="K271" t="s">
        <v>46</v>
      </c>
    </row>
    <row r="272" spans="1:11" x14ac:dyDescent="0.35">
      <c r="A272">
        <v>270</v>
      </c>
      <c r="B272" t="s">
        <v>316</v>
      </c>
      <c r="C272" t="s">
        <v>24</v>
      </c>
      <c r="D272" t="s">
        <v>25</v>
      </c>
      <c r="E272">
        <v>45324</v>
      </c>
      <c r="F272" s="1">
        <v>45333</v>
      </c>
      <c r="G272">
        <v>9</v>
      </c>
      <c r="H272">
        <v>417</v>
      </c>
      <c r="I272" t="s">
        <v>14</v>
      </c>
      <c r="J272" t="s">
        <v>548</v>
      </c>
      <c r="K272" t="s">
        <v>46</v>
      </c>
    </row>
    <row r="273" spans="1:11" x14ac:dyDescent="0.35">
      <c r="A273">
        <v>271</v>
      </c>
      <c r="B273" t="s">
        <v>317</v>
      </c>
      <c r="C273" t="s">
        <v>24</v>
      </c>
      <c r="D273" t="s">
        <v>25</v>
      </c>
      <c r="E273">
        <v>45457</v>
      </c>
      <c r="F273" s="1">
        <v>45461</v>
      </c>
      <c r="G273">
        <v>5</v>
      </c>
      <c r="H273">
        <v>355</v>
      </c>
      <c r="I273" t="s">
        <v>14</v>
      </c>
      <c r="J273" t="s">
        <v>552</v>
      </c>
      <c r="K273" t="s">
        <v>46</v>
      </c>
    </row>
    <row r="274" spans="1:11" x14ac:dyDescent="0.35">
      <c r="A274">
        <v>272</v>
      </c>
      <c r="B274" t="s">
        <v>318</v>
      </c>
      <c r="C274" t="s">
        <v>17</v>
      </c>
      <c r="D274" t="s">
        <v>44</v>
      </c>
      <c r="E274">
        <v>45467</v>
      </c>
      <c r="F274" s="1">
        <v>45471</v>
      </c>
      <c r="G274">
        <v>1</v>
      </c>
      <c r="H274">
        <v>57</v>
      </c>
      <c r="I274" t="s">
        <v>14</v>
      </c>
      <c r="J274" t="s">
        <v>548</v>
      </c>
      <c r="K274" t="s">
        <v>29</v>
      </c>
    </row>
    <row r="275" spans="1:11" x14ac:dyDescent="0.35">
      <c r="A275">
        <v>273</v>
      </c>
      <c r="B275" t="s">
        <v>319</v>
      </c>
      <c r="C275" t="s">
        <v>12</v>
      </c>
      <c r="D275" t="s">
        <v>58</v>
      </c>
      <c r="E275">
        <v>45517</v>
      </c>
      <c r="F275" s="1">
        <v>45529</v>
      </c>
      <c r="G275">
        <v>8</v>
      </c>
      <c r="H275">
        <v>10</v>
      </c>
      <c r="I275" t="s">
        <v>28</v>
      </c>
      <c r="J275" t="s">
        <v>550</v>
      </c>
      <c r="K275" t="s">
        <v>19</v>
      </c>
    </row>
    <row r="276" spans="1:11" x14ac:dyDescent="0.35">
      <c r="A276">
        <v>274</v>
      </c>
      <c r="B276" t="s">
        <v>320</v>
      </c>
      <c r="C276" t="s">
        <v>12</v>
      </c>
      <c r="D276" t="s">
        <v>96</v>
      </c>
      <c r="E276">
        <v>45632</v>
      </c>
      <c r="F276" s="1">
        <v>45639</v>
      </c>
      <c r="G276">
        <v>3</v>
      </c>
      <c r="H276">
        <v>63</v>
      </c>
      <c r="I276" t="s">
        <v>28</v>
      </c>
      <c r="J276" t="s">
        <v>550</v>
      </c>
      <c r="K276" t="s">
        <v>19</v>
      </c>
    </row>
    <row r="277" spans="1:11" x14ac:dyDescent="0.35">
      <c r="A277">
        <v>275</v>
      </c>
      <c r="B277" t="s">
        <v>321</v>
      </c>
      <c r="C277" t="s">
        <v>21</v>
      </c>
      <c r="D277" t="s">
        <v>22</v>
      </c>
      <c r="E277">
        <v>45627</v>
      </c>
      <c r="F277" s="1">
        <v>45636</v>
      </c>
      <c r="G277">
        <v>2</v>
      </c>
      <c r="H277">
        <v>730</v>
      </c>
      <c r="I277" t="s">
        <v>14</v>
      </c>
      <c r="J277" t="s">
        <v>548</v>
      </c>
      <c r="K277" t="s">
        <v>19</v>
      </c>
    </row>
    <row r="278" spans="1:11" x14ac:dyDescent="0.35">
      <c r="A278">
        <v>276</v>
      </c>
      <c r="B278" t="s">
        <v>322</v>
      </c>
      <c r="C278" t="s">
        <v>24</v>
      </c>
      <c r="D278" t="s">
        <v>115</v>
      </c>
      <c r="E278">
        <v>45359</v>
      </c>
      <c r="F278" s="1">
        <v>45366</v>
      </c>
      <c r="G278">
        <v>10</v>
      </c>
      <c r="H278">
        <v>241</v>
      </c>
      <c r="I278" t="s">
        <v>14</v>
      </c>
      <c r="J278" t="s">
        <v>552</v>
      </c>
      <c r="K278" t="s">
        <v>19</v>
      </c>
    </row>
    <row r="279" spans="1:11" x14ac:dyDescent="0.35">
      <c r="A279">
        <v>277</v>
      </c>
      <c r="B279" t="s">
        <v>323</v>
      </c>
      <c r="C279" t="s">
        <v>12</v>
      </c>
      <c r="D279" t="s">
        <v>96</v>
      </c>
      <c r="E279">
        <v>45353</v>
      </c>
      <c r="F279" s="1">
        <v>45366</v>
      </c>
      <c r="G279">
        <v>7</v>
      </c>
      <c r="H279">
        <v>720</v>
      </c>
      <c r="I279" t="s">
        <v>14</v>
      </c>
      <c r="J279" t="s">
        <v>548</v>
      </c>
      <c r="K279" t="s">
        <v>19</v>
      </c>
    </row>
    <row r="280" spans="1:11" x14ac:dyDescent="0.35">
      <c r="A280">
        <v>278</v>
      </c>
      <c r="B280" t="s">
        <v>324</v>
      </c>
      <c r="C280" t="s">
        <v>21</v>
      </c>
      <c r="D280" t="s">
        <v>22</v>
      </c>
      <c r="E280">
        <v>45360</v>
      </c>
      <c r="F280" s="1">
        <v>45371</v>
      </c>
      <c r="G280">
        <v>3</v>
      </c>
      <c r="H280">
        <v>80</v>
      </c>
      <c r="I280" t="s">
        <v>14</v>
      </c>
      <c r="J280" t="s">
        <v>552</v>
      </c>
      <c r="K280" t="s">
        <v>46</v>
      </c>
    </row>
    <row r="281" spans="1:11" x14ac:dyDescent="0.35">
      <c r="A281">
        <v>279</v>
      </c>
      <c r="B281" t="s">
        <v>325</v>
      </c>
      <c r="C281" t="s">
        <v>17</v>
      </c>
      <c r="D281" t="s">
        <v>44</v>
      </c>
      <c r="E281">
        <v>45403</v>
      </c>
      <c r="F281" s="1">
        <v>45409</v>
      </c>
      <c r="G281">
        <v>2</v>
      </c>
      <c r="H281">
        <v>928</v>
      </c>
      <c r="I281" t="s">
        <v>14</v>
      </c>
      <c r="J281" t="s">
        <v>548</v>
      </c>
      <c r="K281" t="s">
        <v>15</v>
      </c>
    </row>
    <row r="282" spans="1:11" x14ac:dyDescent="0.35">
      <c r="A282">
        <v>280</v>
      </c>
      <c r="B282" t="s">
        <v>326</v>
      </c>
      <c r="C282" t="s">
        <v>17</v>
      </c>
      <c r="D282" t="s">
        <v>44</v>
      </c>
      <c r="E282">
        <v>45471</v>
      </c>
      <c r="F282" s="1">
        <v>45484</v>
      </c>
      <c r="G282">
        <v>7</v>
      </c>
      <c r="H282">
        <v>332</v>
      </c>
      <c r="I282" t="s">
        <v>14</v>
      </c>
      <c r="J282" t="s">
        <v>549</v>
      </c>
      <c r="K282" t="s">
        <v>46</v>
      </c>
    </row>
    <row r="283" spans="1:11" x14ac:dyDescent="0.35">
      <c r="A283">
        <v>281</v>
      </c>
      <c r="B283" t="s">
        <v>327</v>
      </c>
      <c r="C283" t="s">
        <v>12</v>
      </c>
      <c r="D283" t="s">
        <v>96</v>
      </c>
      <c r="E283">
        <v>45397</v>
      </c>
      <c r="F283" s="1">
        <v>45400</v>
      </c>
      <c r="G283">
        <v>9</v>
      </c>
      <c r="H283">
        <v>631</v>
      </c>
      <c r="I283" t="s">
        <v>28</v>
      </c>
      <c r="J283" t="s">
        <v>552</v>
      </c>
      <c r="K283" t="s">
        <v>19</v>
      </c>
    </row>
    <row r="284" spans="1:11" x14ac:dyDescent="0.35">
      <c r="A284">
        <v>282</v>
      </c>
      <c r="B284" t="s">
        <v>328</v>
      </c>
      <c r="C284" t="s">
        <v>24</v>
      </c>
      <c r="D284" t="s">
        <v>115</v>
      </c>
      <c r="E284">
        <v>45415</v>
      </c>
      <c r="F284" s="1">
        <v>45419</v>
      </c>
      <c r="G284">
        <v>8</v>
      </c>
      <c r="H284">
        <v>663</v>
      </c>
      <c r="I284" t="s">
        <v>28</v>
      </c>
      <c r="J284" t="s">
        <v>552</v>
      </c>
      <c r="K284" t="s">
        <v>29</v>
      </c>
    </row>
    <row r="285" spans="1:11" x14ac:dyDescent="0.35">
      <c r="A285">
        <v>283</v>
      </c>
      <c r="B285" t="s">
        <v>329</v>
      </c>
      <c r="C285" t="s">
        <v>31</v>
      </c>
      <c r="D285" t="s">
        <v>32</v>
      </c>
      <c r="E285">
        <v>45641</v>
      </c>
      <c r="F285" s="1">
        <v>45646</v>
      </c>
      <c r="G285">
        <v>3</v>
      </c>
      <c r="H285">
        <v>791</v>
      </c>
      <c r="I285" t="s">
        <v>14</v>
      </c>
      <c r="J285" t="s">
        <v>550</v>
      </c>
      <c r="K285" t="s">
        <v>15</v>
      </c>
    </row>
    <row r="286" spans="1:11" x14ac:dyDescent="0.35">
      <c r="A286">
        <v>284</v>
      </c>
      <c r="B286" t="s">
        <v>330</v>
      </c>
      <c r="C286" t="s">
        <v>17</v>
      </c>
      <c r="D286" t="s">
        <v>56</v>
      </c>
      <c r="E286">
        <v>45613</v>
      </c>
      <c r="F286" s="1">
        <v>45616</v>
      </c>
      <c r="G286">
        <v>9</v>
      </c>
      <c r="H286">
        <v>795</v>
      </c>
      <c r="I286" t="s">
        <v>28</v>
      </c>
      <c r="J286" t="s">
        <v>550</v>
      </c>
      <c r="K286" t="s">
        <v>46</v>
      </c>
    </row>
    <row r="287" spans="1:11" x14ac:dyDescent="0.35">
      <c r="A287">
        <v>285</v>
      </c>
      <c r="B287" t="s">
        <v>331</v>
      </c>
      <c r="C287" t="s">
        <v>12</v>
      </c>
      <c r="D287" t="s">
        <v>96</v>
      </c>
      <c r="E287">
        <v>45332</v>
      </c>
      <c r="F287" s="1">
        <v>45346</v>
      </c>
      <c r="G287">
        <v>9</v>
      </c>
      <c r="H287">
        <v>953</v>
      </c>
      <c r="I287" t="s">
        <v>28</v>
      </c>
      <c r="J287" t="s">
        <v>548</v>
      </c>
      <c r="K287" t="s">
        <v>29</v>
      </c>
    </row>
    <row r="288" spans="1:11" x14ac:dyDescent="0.35">
      <c r="A288">
        <v>286</v>
      </c>
      <c r="B288" t="s">
        <v>332</v>
      </c>
      <c r="C288" t="s">
        <v>31</v>
      </c>
      <c r="D288" t="s">
        <v>50</v>
      </c>
      <c r="E288">
        <v>45592</v>
      </c>
      <c r="F288" s="1">
        <v>45606</v>
      </c>
      <c r="G288">
        <v>2</v>
      </c>
      <c r="H288">
        <v>327</v>
      </c>
      <c r="I288" t="s">
        <v>28</v>
      </c>
      <c r="J288" t="s">
        <v>552</v>
      </c>
      <c r="K288" t="s">
        <v>29</v>
      </c>
    </row>
    <row r="289" spans="1:11" x14ac:dyDescent="0.35">
      <c r="A289">
        <v>287</v>
      </c>
      <c r="B289" t="s">
        <v>333</v>
      </c>
      <c r="C289" t="s">
        <v>17</v>
      </c>
      <c r="D289" t="s">
        <v>60</v>
      </c>
      <c r="E289">
        <v>45320</v>
      </c>
      <c r="F289" s="1">
        <v>45324</v>
      </c>
      <c r="G289">
        <v>5</v>
      </c>
      <c r="H289">
        <v>692</v>
      </c>
      <c r="I289" t="s">
        <v>14</v>
      </c>
      <c r="J289" t="s">
        <v>552</v>
      </c>
      <c r="K289" t="s">
        <v>19</v>
      </c>
    </row>
    <row r="290" spans="1:11" x14ac:dyDescent="0.35">
      <c r="A290">
        <v>288</v>
      </c>
      <c r="B290" t="s">
        <v>334</v>
      </c>
      <c r="C290" t="s">
        <v>12</v>
      </c>
      <c r="D290" t="s">
        <v>58</v>
      </c>
      <c r="E290">
        <v>45651</v>
      </c>
      <c r="F290" s="1">
        <v>45658</v>
      </c>
      <c r="G290">
        <v>1</v>
      </c>
      <c r="H290">
        <v>177</v>
      </c>
      <c r="I290" t="s">
        <v>28</v>
      </c>
      <c r="J290" t="s">
        <v>550</v>
      </c>
      <c r="K290" t="s">
        <v>19</v>
      </c>
    </row>
    <row r="291" spans="1:11" x14ac:dyDescent="0.35">
      <c r="A291">
        <v>289</v>
      </c>
      <c r="B291" t="s">
        <v>335</v>
      </c>
      <c r="C291" t="s">
        <v>17</v>
      </c>
      <c r="D291" t="s">
        <v>56</v>
      </c>
      <c r="E291">
        <v>45377</v>
      </c>
      <c r="F291" s="1">
        <v>45390</v>
      </c>
      <c r="G291">
        <v>6</v>
      </c>
      <c r="H291">
        <v>139</v>
      </c>
      <c r="I291" t="s">
        <v>28</v>
      </c>
      <c r="J291" t="s">
        <v>552</v>
      </c>
      <c r="K291" t="s">
        <v>46</v>
      </c>
    </row>
    <row r="292" spans="1:11" x14ac:dyDescent="0.35">
      <c r="A292">
        <v>290</v>
      </c>
      <c r="B292" t="s">
        <v>336</v>
      </c>
      <c r="C292" t="s">
        <v>17</v>
      </c>
      <c r="D292" t="s">
        <v>64</v>
      </c>
      <c r="E292">
        <v>45480</v>
      </c>
      <c r="F292" s="1">
        <v>45490</v>
      </c>
      <c r="G292">
        <v>3</v>
      </c>
      <c r="H292">
        <v>271</v>
      </c>
      <c r="I292" t="s">
        <v>28</v>
      </c>
      <c r="J292" t="s">
        <v>549</v>
      </c>
      <c r="K292" t="s">
        <v>15</v>
      </c>
    </row>
    <row r="293" spans="1:11" x14ac:dyDescent="0.35">
      <c r="A293">
        <v>291</v>
      </c>
      <c r="B293" t="s">
        <v>337</v>
      </c>
      <c r="C293" t="s">
        <v>12</v>
      </c>
      <c r="D293" t="s">
        <v>58</v>
      </c>
      <c r="E293">
        <v>45552</v>
      </c>
      <c r="F293" s="1">
        <v>45555</v>
      </c>
      <c r="G293">
        <v>1</v>
      </c>
      <c r="H293">
        <v>55</v>
      </c>
      <c r="I293" t="s">
        <v>14</v>
      </c>
      <c r="J293" t="s">
        <v>549</v>
      </c>
      <c r="K293" t="s">
        <v>46</v>
      </c>
    </row>
    <row r="294" spans="1:11" x14ac:dyDescent="0.35">
      <c r="A294">
        <v>292</v>
      </c>
      <c r="B294" t="s">
        <v>338</v>
      </c>
      <c r="C294" t="s">
        <v>12</v>
      </c>
      <c r="D294" t="s">
        <v>27</v>
      </c>
      <c r="E294">
        <v>45478</v>
      </c>
      <c r="F294" s="1">
        <v>45491</v>
      </c>
      <c r="G294">
        <v>7</v>
      </c>
      <c r="H294">
        <v>952</v>
      </c>
      <c r="I294" t="s">
        <v>14</v>
      </c>
      <c r="J294" t="s">
        <v>548</v>
      </c>
      <c r="K294" t="s">
        <v>15</v>
      </c>
    </row>
    <row r="295" spans="1:11" x14ac:dyDescent="0.35">
      <c r="A295">
        <v>293</v>
      </c>
      <c r="B295" t="s">
        <v>339</v>
      </c>
      <c r="C295" t="s">
        <v>12</v>
      </c>
      <c r="D295" t="s">
        <v>36</v>
      </c>
      <c r="E295">
        <v>45482</v>
      </c>
      <c r="F295" s="1">
        <v>45488</v>
      </c>
      <c r="G295">
        <v>2</v>
      </c>
      <c r="H295">
        <v>524</v>
      </c>
      <c r="I295" t="s">
        <v>14</v>
      </c>
      <c r="J295" t="s">
        <v>552</v>
      </c>
      <c r="K295" t="s">
        <v>19</v>
      </c>
    </row>
    <row r="296" spans="1:11" x14ac:dyDescent="0.35">
      <c r="A296">
        <v>294</v>
      </c>
      <c r="B296" t="s">
        <v>340</v>
      </c>
      <c r="C296" t="s">
        <v>21</v>
      </c>
      <c r="D296" t="s">
        <v>52</v>
      </c>
      <c r="E296">
        <v>45417</v>
      </c>
      <c r="F296" s="1">
        <v>45421</v>
      </c>
      <c r="G296">
        <v>3</v>
      </c>
      <c r="H296">
        <v>16</v>
      </c>
      <c r="I296" t="s">
        <v>14</v>
      </c>
      <c r="J296" t="s">
        <v>550</v>
      </c>
      <c r="K296" t="s">
        <v>29</v>
      </c>
    </row>
    <row r="297" spans="1:11" x14ac:dyDescent="0.35">
      <c r="A297">
        <v>295</v>
      </c>
      <c r="B297" t="s">
        <v>341</v>
      </c>
      <c r="C297" t="s">
        <v>17</v>
      </c>
      <c r="D297" t="s">
        <v>56</v>
      </c>
      <c r="E297">
        <v>45617</v>
      </c>
      <c r="F297" s="1">
        <v>45621</v>
      </c>
      <c r="G297">
        <v>1</v>
      </c>
      <c r="H297">
        <v>983</v>
      </c>
      <c r="I297" t="s">
        <v>28</v>
      </c>
      <c r="J297" t="s">
        <v>547</v>
      </c>
      <c r="K297" t="s">
        <v>19</v>
      </c>
    </row>
    <row r="298" spans="1:11" x14ac:dyDescent="0.35">
      <c r="A298">
        <v>296</v>
      </c>
      <c r="B298" t="s">
        <v>342</v>
      </c>
      <c r="C298" t="s">
        <v>12</v>
      </c>
      <c r="D298" t="s">
        <v>58</v>
      </c>
      <c r="E298">
        <v>45646</v>
      </c>
      <c r="F298" s="1">
        <v>45657</v>
      </c>
      <c r="G298">
        <v>5</v>
      </c>
      <c r="H298">
        <v>105</v>
      </c>
      <c r="I298" t="s">
        <v>28</v>
      </c>
      <c r="J298" t="s">
        <v>548</v>
      </c>
      <c r="K298" t="s">
        <v>29</v>
      </c>
    </row>
    <row r="299" spans="1:11" x14ac:dyDescent="0.35">
      <c r="A299">
        <v>297</v>
      </c>
      <c r="B299" t="s">
        <v>343</v>
      </c>
      <c r="C299" t="s">
        <v>24</v>
      </c>
      <c r="D299" t="s">
        <v>25</v>
      </c>
      <c r="E299">
        <v>45526</v>
      </c>
      <c r="F299" s="1">
        <v>45540</v>
      </c>
      <c r="G299">
        <v>2</v>
      </c>
      <c r="H299">
        <v>604</v>
      </c>
      <c r="I299" t="s">
        <v>14</v>
      </c>
      <c r="J299" t="s">
        <v>548</v>
      </c>
      <c r="K299" t="s">
        <v>15</v>
      </c>
    </row>
    <row r="300" spans="1:11" x14ac:dyDescent="0.35">
      <c r="A300">
        <v>298</v>
      </c>
      <c r="B300" t="s">
        <v>344</v>
      </c>
      <c r="C300" t="s">
        <v>24</v>
      </c>
      <c r="D300" t="s">
        <v>115</v>
      </c>
      <c r="E300">
        <v>45595</v>
      </c>
      <c r="F300" s="1">
        <v>45605</v>
      </c>
      <c r="G300">
        <v>10</v>
      </c>
      <c r="H300">
        <v>73</v>
      </c>
      <c r="I300" t="s">
        <v>14</v>
      </c>
      <c r="J300" t="s">
        <v>550</v>
      </c>
      <c r="K300" t="s">
        <v>19</v>
      </c>
    </row>
    <row r="301" spans="1:11" x14ac:dyDescent="0.35">
      <c r="A301">
        <v>299</v>
      </c>
      <c r="B301" t="s">
        <v>345</v>
      </c>
      <c r="C301" t="s">
        <v>24</v>
      </c>
      <c r="D301" t="s">
        <v>25</v>
      </c>
      <c r="E301">
        <v>45411</v>
      </c>
      <c r="F301" s="1">
        <v>45426</v>
      </c>
      <c r="G301">
        <v>2</v>
      </c>
      <c r="H301">
        <v>976</v>
      </c>
      <c r="I301" t="s">
        <v>28</v>
      </c>
      <c r="J301" t="s">
        <v>548</v>
      </c>
      <c r="K301" t="s">
        <v>46</v>
      </c>
    </row>
    <row r="302" spans="1:11" x14ac:dyDescent="0.35">
      <c r="A302">
        <v>300</v>
      </c>
      <c r="B302" t="s">
        <v>346</v>
      </c>
      <c r="C302" t="s">
        <v>12</v>
      </c>
      <c r="D302" t="s">
        <v>13</v>
      </c>
      <c r="E302">
        <v>45372</v>
      </c>
      <c r="F302" s="1">
        <v>45375</v>
      </c>
      <c r="G302">
        <v>5</v>
      </c>
      <c r="H302">
        <v>856</v>
      </c>
      <c r="I302" t="s">
        <v>14</v>
      </c>
      <c r="J302" t="s">
        <v>552</v>
      </c>
      <c r="K302" t="s">
        <v>19</v>
      </c>
    </row>
    <row r="303" spans="1:11" x14ac:dyDescent="0.35">
      <c r="A303">
        <v>301</v>
      </c>
      <c r="B303" t="s">
        <v>347</v>
      </c>
      <c r="C303" t="s">
        <v>17</v>
      </c>
      <c r="D303" t="s">
        <v>18</v>
      </c>
      <c r="E303">
        <v>45638</v>
      </c>
      <c r="F303" s="1">
        <v>45651</v>
      </c>
      <c r="G303">
        <v>5</v>
      </c>
      <c r="H303">
        <v>276</v>
      </c>
      <c r="I303" t="s">
        <v>14</v>
      </c>
      <c r="J303" t="s">
        <v>549</v>
      </c>
      <c r="K303" t="s">
        <v>46</v>
      </c>
    </row>
    <row r="304" spans="1:11" x14ac:dyDescent="0.35">
      <c r="A304">
        <v>302</v>
      </c>
      <c r="B304" t="s">
        <v>348</v>
      </c>
      <c r="C304" t="s">
        <v>24</v>
      </c>
      <c r="D304" t="s">
        <v>38</v>
      </c>
      <c r="E304">
        <v>45576</v>
      </c>
      <c r="F304" s="1">
        <v>45588</v>
      </c>
      <c r="G304">
        <v>9</v>
      </c>
      <c r="H304">
        <v>265</v>
      </c>
      <c r="I304" t="s">
        <v>14</v>
      </c>
      <c r="J304" t="s">
        <v>548</v>
      </c>
      <c r="K304" t="s">
        <v>29</v>
      </c>
    </row>
    <row r="305" spans="1:11" x14ac:dyDescent="0.35">
      <c r="A305">
        <v>303</v>
      </c>
      <c r="B305" t="s">
        <v>349</v>
      </c>
      <c r="C305" t="s">
        <v>21</v>
      </c>
      <c r="D305" t="s">
        <v>40</v>
      </c>
      <c r="E305">
        <v>45298</v>
      </c>
      <c r="F305" s="1">
        <v>45303</v>
      </c>
      <c r="G305">
        <v>1</v>
      </c>
      <c r="H305">
        <v>860</v>
      </c>
      <c r="I305" t="s">
        <v>14</v>
      </c>
      <c r="J305" t="s">
        <v>549</v>
      </c>
      <c r="K305" t="s">
        <v>19</v>
      </c>
    </row>
    <row r="306" spans="1:11" x14ac:dyDescent="0.35">
      <c r="A306">
        <v>304</v>
      </c>
      <c r="B306" t="s">
        <v>350</v>
      </c>
      <c r="C306" t="s">
        <v>21</v>
      </c>
      <c r="D306" t="s">
        <v>22</v>
      </c>
      <c r="E306">
        <v>45482</v>
      </c>
      <c r="F306" s="1">
        <v>45493</v>
      </c>
      <c r="G306">
        <v>2</v>
      </c>
      <c r="H306">
        <v>606</v>
      </c>
      <c r="I306" t="s">
        <v>14</v>
      </c>
      <c r="J306" t="s">
        <v>552</v>
      </c>
      <c r="K306" t="s">
        <v>15</v>
      </c>
    </row>
    <row r="307" spans="1:11" x14ac:dyDescent="0.35">
      <c r="A307">
        <v>305</v>
      </c>
      <c r="B307" t="s">
        <v>351</v>
      </c>
      <c r="C307" t="s">
        <v>12</v>
      </c>
      <c r="D307" t="s">
        <v>13</v>
      </c>
      <c r="E307">
        <v>45528</v>
      </c>
      <c r="F307" s="1">
        <v>45534</v>
      </c>
      <c r="G307">
        <v>1</v>
      </c>
      <c r="H307">
        <v>182</v>
      </c>
      <c r="I307" t="s">
        <v>28</v>
      </c>
      <c r="J307" t="s">
        <v>552</v>
      </c>
      <c r="K307" t="s">
        <v>19</v>
      </c>
    </row>
    <row r="308" spans="1:11" x14ac:dyDescent="0.35">
      <c r="A308">
        <v>306</v>
      </c>
      <c r="B308" t="s">
        <v>352</v>
      </c>
      <c r="C308" t="s">
        <v>24</v>
      </c>
      <c r="D308" t="s">
        <v>25</v>
      </c>
      <c r="E308">
        <v>45826</v>
      </c>
      <c r="F308" s="1">
        <v>45836</v>
      </c>
      <c r="G308">
        <v>6</v>
      </c>
      <c r="H308">
        <v>973</v>
      </c>
      <c r="I308" t="s">
        <v>14</v>
      </c>
      <c r="J308" t="s">
        <v>549</v>
      </c>
      <c r="K308" t="s">
        <v>15</v>
      </c>
    </row>
    <row r="309" spans="1:11" x14ac:dyDescent="0.35">
      <c r="A309">
        <v>307</v>
      </c>
      <c r="B309" t="s">
        <v>353</v>
      </c>
      <c r="C309" t="s">
        <v>24</v>
      </c>
      <c r="D309" t="s">
        <v>25</v>
      </c>
      <c r="E309">
        <v>45690</v>
      </c>
      <c r="F309" s="1">
        <v>45696</v>
      </c>
      <c r="G309">
        <v>2</v>
      </c>
      <c r="H309">
        <v>947</v>
      </c>
      <c r="I309" t="s">
        <v>14</v>
      </c>
      <c r="J309" t="s">
        <v>550</v>
      </c>
      <c r="K309" t="s">
        <v>15</v>
      </c>
    </row>
    <row r="310" spans="1:11" x14ac:dyDescent="0.35">
      <c r="A310">
        <v>308</v>
      </c>
      <c r="B310" t="s">
        <v>354</v>
      </c>
      <c r="C310" t="s">
        <v>21</v>
      </c>
      <c r="D310" t="s">
        <v>22</v>
      </c>
      <c r="E310">
        <v>45665</v>
      </c>
      <c r="F310" s="1">
        <v>45678</v>
      </c>
      <c r="G310">
        <v>1</v>
      </c>
      <c r="H310">
        <v>713</v>
      </c>
      <c r="I310" t="s">
        <v>28</v>
      </c>
      <c r="J310" t="s">
        <v>550</v>
      </c>
      <c r="K310" t="s">
        <v>19</v>
      </c>
    </row>
    <row r="311" spans="1:11" x14ac:dyDescent="0.35">
      <c r="A311">
        <v>309</v>
      </c>
      <c r="B311" t="s">
        <v>355</v>
      </c>
      <c r="C311" t="s">
        <v>31</v>
      </c>
      <c r="D311" t="s">
        <v>42</v>
      </c>
      <c r="E311">
        <v>45811</v>
      </c>
      <c r="F311" s="1">
        <v>45819</v>
      </c>
      <c r="G311">
        <v>9</v>
      </c>
      <c r="H311">
        <v>692</v>
      </c>
      <c r="I311" t="s">
        <v>28</v>
      </c>
      <c r="J311" t="s">
        <v>549</v>
      </c>
      <c r="K311" t="s">
        <v>46</v>
      </c>
    </row>
    <row r="312" spans="1:11" x14ac:dyDescent="0.35">
      <c r="A312">
        <v>310</v>
      </c>
      <c r="B312" t="s">
        <v>356</v>
      </c>
      <c r="C312" t="s">
        <v>17</v>
      </c>
      <c r="D312" t="s">
        <v>44</v>
      </c>
      <c r="E312">
        <v>45803</v>
      </c>
      <c r="F312" s="1">
        <v>45814</v>
      </c>
      <c r="G312">
        <v>7</v>
      </c>
      <c r="H312">
        <v>305</v>
      </c>
      <c r="I312" t="s">
        <v>28</v>
      </c>
      <c r="J312" t="s">
        <v>33</v>
      </c>
      <c r="K312" t="s">
        <v>15</v>
      </c>
    </row>
    <row r="313" spans="1:11" x14ac:dyDescent="0.35">
      <c r="A313">
        <v>311</v>
      </c>
      <c r="B313" t="s">
        <v>357</v>
      </c>
      <c r="C313" t="s">
        <v>12</v>
      </c>
      <c r="D313" t="s">
        <v>13</v>
      </c>
      <c r="E313">
        <v>45882</v>
      </c>
      <c r="F313" s="1">
        <v>45887</v>
      </c>
      <c r="G313">
        <v>7</v>
      </c>
      <c r="H313">
        <v>501</v>
      </c>
      <c r="I313" t="s">
        <v>28</v>
      </c>
      <c r="J313" t="s">
        <v>550</v>
      </c>
      <c r="K313" t="s">
        <v>46</v>
      </c>
    </row>
    <row r="314" spans="1:11" x14ac:dyDescent="0.35">
      <c r="A314">
        <v>312</v>
      </c>
      <c r="B314" t="s">
        <v>358</v>
      </c>
      <c r="C314" t="s">
        <v>24</v>
      </c>
      <c r="D314" t="s">
        <v>38</v>
      </c>
      <c r="E314">
        <v>45815</v>
      </c>
      <c r="F314" s="1">
        <v>45819</v>
      </c>
      <c r="G314">
        <v>8</v>
      </c>
      <c r="H314">
        <v>329</v>
      </c>
      <c r="I314" t="s">
        <v>14</v>
      </c>
      <c r="J314" t="s">
        <v>550</v>
      </c>
      <c r="K314" t="s">
        <v>15</v>
      </c>
    </row>
    <row r="315" spans="1:11" x14ac:dyDescent="0.35">
      <c r="A315">
        <v>313</v>
      </c>
      <c r="B315" t="s">
        <v>359</v>
      </c>
      <c r="C315" t="s">
        <v>21</v>
      </c>
      <c r="D315" t="s">
        <v>22</v>
      </c>
      <c r="E315">
        <v>45665</v>
      </c>
      <c r="F315" s="1">
        <v>45672</v>
      </c>
      <c r="G315">
        <v>9</v>
      </c>
      <c r="H315">
        <v>785</v>
      </c>
      <c r="I315" t="s">
        <v>14</v>
      </c>
      <c r="J315" t="s">
        <v>547</v>
      </c>
      <c r="K315" t="s">
        <v>46</v>
      </c>
    </row>
    <row r="316" spans="1:11" x14ac:dyDescent="0.35">
      <c r="A316">
        <v>314</v>
      </c>
      <c r="B316" t="s">
        <v>360</v>
      </c>
      <c r="C316" t="s">
        <v>31</v>
      </c>
      <c r="D316" t="s">
        <v>76</v>
      </c>
      <c r="E316">
        <v>45902</v>
      </c>
      <c r="F316" s="1">
        <v>45916</v>
      </c>
      <c r="G316">
        <v>2</v>
      </c>
      <c r="H316">
        <v>530</v>
      </c>
      <c r="I316" t="s">
        <v>28</v>
      </c>
      <c r="J316" t="s">
        <v>550</v>
      </c>
      <c r="K316" t="s">
        <v>19</v>
      </c>
    </row>
    <row r="317" spans="1:11" x14ac:dyDescent="0.35">
      <c r="A317">
        <v>315</v>
      </c>
      <c r="B317" t="s">
        <v>361</v>
      </c>
      <c r="C317" t="s">
        <v>31</v>
      </c>
      <c r="D317" t="s">
        <v>42</v>
      </c>
      <c r="E317">
        <v>45995</v>
      </c>
      <c r="F317" s="1">
        <v>46004</v>
      </c>
      <c r="G317">
        <v>3</v>
      </c>
      <c r="H317">
        <v>799</v>
      </c>
      <c r="I317" t="s">
        <v>14</v>
      </c>
      <c r="J317" t="s">
        <v>549</v>
      </c>
      <c r="K317" t="s">
        <v>46</v>
      </c>
    </row>
    <row r="318" spans="1:11" x14ac:dyDescent="0.35">
      <c r="A318">
        <v>316</v>
      </c>
      <c r="B318" t="s">
        <v>362</v>
      </c>
      <c r="C318" t="s">
        <v>31</v>
      </c>
      <c r="D318" t="s">
        <v>76</v>
      </c>
      <c r="E318">
        <v>45851</v>
      </c>
      <c r="F318" s="1">
        <v>45856</v>
      </c>
      <c r="G318">
        <v>10</v>
      </c>
      <c r="H318">
        <v>974</v>
      </c>
      <c r="I318" t="s">
        <v>14</v>
      </c>
      <c r="J318" t="s">
        <v>550</v>
      </c>
      <c r="K318" t="s">
        <v>19</v>
      </c>
    </row>
    <row r="319" spans="1:11" x14ac:dyDescent="0.35">
      <c r="A319">
        <v>317</v>
      </c>
      <c r="B319" t="s">
        <v>363</v>
      </c>
      <c r="C319" t="s">
        <v>17</v>
      </c>
      <c r="D319" t="s">
        <v>64</v>
      </c>
      <c r="E319">
        <v>45835</v>
      </c>
      <c r="F319" s="1">
        <v>45840</v>
      </c>
      <c r="G319">
        <v>3</v>
      </c>
      <c r="H319">
        <v>179</v>
      </c>
      <c r="I319" t="s">
        <v>14</v>
      </c>
      <c r="J319" t="s">
        <v>549</v>
      </c>
      <c r="K319" t="s">
        <v>46</v>
      </c>
    </row>
    <row r="320" spans="1:11" x14ac:dyDescent="0.35">
      <c r="A320">
        <v>318</v>
      </c>
      <c r="B320" t="s">
        <v>364</v>
      </c>
      <c r="C320" t="s">
        <v>17</v>
      </c>
      <c r="D320" t="s">
        <v>64</v>
      </c>
      <c r="E320">
        <v>45725</v>
      </c>
      <c r="F320" s="1">
        <v>45730</v>
      </c>
      <c r="G320">
        <v>4</v>
      </c>
      <c r="H320">
        <v>49</v>
      </c>
      <c r="I320" t="s">
        <v>28</v>
      </c>
      <c r="J320" t="s">
        <v>547</v>
      </c>
      <c r="K320" t="s">
        <v>19</v>
      </c>
    </row>
    <row r="321" spans="1:11" x14ac:dyDescent="0.35">
      <c r="A321">
        <v>319</v>
      </c>
      <c r="B321" t="s">
        <v>365</v>
      </c>
      <c r="C321" t="s">
        <v>24</v>
      </c>
      <c r="D321" t="s">
        <v>38</v>
      </c>
      <c r="E321">
        <v>45827</v>
      </c>
      <c r="F321" s="1">
        <v>45833</v>
      </c>
      <c r="G321">
        <v>7</v>
      </c>
      <c r="H321">
        <v>409</v>
      </c>
      <c r="I321" t="s">
        <v>14</v>
      </c>
      <c r="J321" t="s">
        <v>33</v>
      </c>
      <c r="K321" t="s">
        <v>29</v>
      </c>
    </row>
    <row r="322" spans="1:11" x14ac:dyDescent="0.35">
      <c r="A322">
        <v>320</v>
      </c>
      <c r="B322" t="s">
        <v>366</v>
      </c>
      <c r="C322" t="s">
        <v>31</v>
      </c>
      <c r="D322" t="s">
        <v>42</v>
      </c>
      <c r="E322">
        <v>45978</v>
      </c>
      <c r="F322" s="1">
        <v>45984</v>
      </c>
      <c r="G322">
        <v>4</v>
      </c>
      <c r="H322">
        <v>149</v>
      </c>
      <c r="I322" t="s">
        <v>14</v>
      </c>
      <c r="J322" t="s">
        <v>549</v>
      </c>
      <c r="K322" t="s">
        <v>29</v>
      </c>
    </row>
    <row r="323" spans="1:11" x14ac:dyDescent="0.35">
      <c r="A323">
        <v>321</v>
      </c>
      <c r="B323" t="s">
        <v>367</v>
      </c>
      <c r="C323" t="s">
        <v>21</v>
      </c>
      <c r="D323" t="s">
        <v>54</v>
      </c>
      <c r="E323">
        <v>45875</v>
      </c>
      <c r="F323" s="1">
        <v>45881</v>
      </c>
      <c r="G323">
        <v>5</v>
      </c>
      <c r="H323">
        <v>285</v>
      </c>
      <c r="I323" t="s">
        <v>14</v>
      </c>
      <c r="J323" t="s">
        <v>551</v>
      </c>
      <c r="K323" t="s">
        <v>46</v>
      </c>
    </row>
    <row r="324" spans="1:11" x14ac:dyDescent="0.35">
      <c r="A324">
        <v>322</v>
      </c>
      <c r="B324" t="s">
        <v>368</v>
      </c>
      <c r="C324" t="s">
        <v>21</v>
      </c>
      <c r="D324" t="s">
        <v>54</v>
      </c>
      <c r="E324">
        <v>45793</v>
      </c>
      <c r="F324" s="1">
        <v>45799</v>
      </c>
      <c r="G324">
        <v>10</v>
      </c>
      <c r="H324">
        <v>434</v>
      </c>
      <c r="I324" t="s">
        <v>14</v>
      </c>
      <c r="J324" t="s">
        <v>550</v>
      </c>
      <c r="K324" t="s">
        <v>15</v>
      </c>
    </row>
    <row r="325" spans="1:11" x14ac:dyDescent="0.35">
      <c r="A325">
        <v>323</v>
      </c>
      <c r="B325" t="s">
        <v>369</v>
      </c>
      <c r="C325" t="s">
        <v>21</v>
      </c>
      <c r="D325" t="s">
        <v>40</v>
      </c>
      <c r="E325">
        <v>45839</v>
      </c>
      <c r="F325" s="1">
        <v>45845</v>
      </c>
      <c r="G325">
        <v>7</v>
      </c>
      <c r="H325">
        <v>195</v>
      </c>
      <c r="I325" t="s">
        <v>14</v>
      </c>
      <c r="J325" t="s">
        <v>33</v>
      </c>
      <c r="K325" t="s">
        <v>46</v>
      </c>
    </row>
    <row r="326" spans="1:11" x14ac:dyDescent="0.35">
      <c r="A326">
        <v>324</v>
      </c>
      <c r="B326" t="s">
        <v>370</v>
      </c>
      <c r="C326" t="s">
        <v>31</v>
      </c>
      <c r="D326" t="s">
        <v>50</v>
      </c>
      <c r="E326">
        <v>45855</v>
      </c>
      <c r="F326" s="1">
        <v>45864</v>
      </c>
      <c r="G326">
        <v>4</v>
      </c>
      <c r="H326">
        <v>432</v>
      </c>
      <c r="I326" t="s">
        <v>14</v>
      </c>
      <c r="J326" t="s">
        <v>550</v>
      </c>
      <c r="K326" t="s">
        <v>15</v>
      </c>
    </row>
    <row r="327" spans="1:11" x14ac:dyDescent="0.35">
      <c r="A327">
        <v>325</v>
      </c>
      <c r="B327" t="s">
        <v>371</v>
      </c>
      <c r="C327" t="s">
        <v>12</v>
      </c>
      <c r="D327" t="s">
        <v>13</v>
      </c>
      <c r="E327">
        <v>45865</v>
      </c>
      <c r="F327" s="1">
        <v>45871</v>
      </c>
      <c r="G327">
        <v>2</v>
      </c>
      <c r="H327">
        <v>708</v>
      </c>
      <c r="I327" t="s">
        <v>28</v>
      </c>
      <c r="J327" t="s">
        <v>33</v>
      </c>
      <c r="K327" t="s">
        <v>15</v>
      </c>
    </row>
    <row r="328" spans="1:11" x14ac:dyDescent="0.35">
      <c r="A328">
        <v>326</v>
      </c>
      <c r="B328" t="s">
        <v>372</v>
      </c>
      <c r="C328" t="s">
        <v>17</v>
      </c>
      <c r="D328" t="s">
        <v>44</v>
      </c>
      <c r="E328">
        <v>46008</v>
      </c>
      <c r="F328" s="1">
        <v>46017</v>
      </c>
      <c r="G328">
        <v>3</v>
      </c>
      <c r="H328">
        <v>868</v>
      </c>
      <c r="I328" t="s">
        <v>14</v>
      </c>
      <c r="J328" t="s">
        <v>549</v>
      </c>
      <c r="K328" t="s">
        <v>19</v>
      </c>
    </row>
    <row r="329" spans="1:11" x14ac:dyDescent="0.35">
      <c r="A329">
        <v>327</v>
      </c>
      <c r="B329" t="s">
        <v>373</v>
      </c>
      <c r="C329" t="s">
        <v>21</v>
      </c>
      <c r="D329" t="s">
        <v>83</v>
      </c>
      <c r="E329">
        <v>46007</v>
      </c>
      <c r="F329" s="1">
        <v>46018</v>
      </c>
      <c r="G329">
        <v>1</v>
      </c>
      <c r="H329">
        <v>130</v>
      </c>
      <c r="I329" t="s">
        <v>28</v>
      </c>
      <c r="J329" t="s">
        <v>551</v>
      </c>
      <c r="K329" t="s">
        <v>15</v>
      </c>
    </row>
    <row r="330" spans="1:11" x14ac:dyDescent="0.35">
      <c r="A330">
        <v>328</v>
      </c>
      <c r="B330" t="s">
        <v>374</v>
      </c>
      <c r="C330" t="s">
        <v>21</v>
      </c>
      <c r="D330" t="s">
        <v>40</v>
      </c>
      <c r="E330">
        <v>46004</v>
      </c>
      <c r="F330" s="1">
        <v>46019</v>
      </c>
      <c r="G330">
        <v>3</v>
      </c>
      <c r="H330">
        <v>744</v>
      </c>
      <c r="I330" t="s">
        <v>28</v>
      </c>
      <c r="J330" t="s">
        <v>547</v>
      </c>
      <c r="K330" t="s">
        <v>46</v>
      </c>
    </row>
    <row r="331" spans="1:11" x14ac:dyDescent="0.35">
      <c r="A331">
        <v>329</v>
      </c>
      <c r="B331" t="s">
        <v>375</v>
      </c>
      <c r="C331" t="s">
        <v>17</v>
      </c>
      <c r="D331" t="s">
        <v>56</v>
      </c>
      <c r="E331">
        <v>45760</v>
      </c>
      <c r="F331" s="1">
        <v>45764</v>
      </c>
      <c r="G331">
        <v>1</v>
      </c>
      <c r="H331">
        <v>62</v>
      </c>
      <c r="I331" t="s">
        <v>28</v>
      </c>
      <c r="J331" t="s">
        <v>33</v>
      </c>
      <c r="K331" t="s">
        <v>15</v>
      </c>
    </row>
    <row r="332" spans="1:11" x14ac:dyDescent="0.35">
      <c r="A332">
        <v>330</v>
      </c>
      <c r="B332" t="s">
        <v>376</v>
      </c>
      <c r="C332" t="s">
        <v>31</v>
      </c>
      <c r="D332" t="s">
        <v>42</v>
      </c>
      <c r="E332">
        <v>45887</v>
      </c>
      <c r="F332" s="1">
        <v>45896</v>
      </c>
      <c r="G332">
        <v>9</v>
      </c>
      <c r="H332">
        <v>385</v>
      </c>
      <c r="I332" t="s">
        <v>28</v>
      </c>
      <c r="J332" t="s">
        <v>33</v>
      </c>
      <c r="K332" t="s">
        <v>29</v>
      </c>
    </row>
    <row r="333" spans="1:11" x14ac:dyDescent="0.35">
      <c r="A333">
        <v>331</v>
      </c>
      <c r="B333" t="s">
        <v>377</v>
      </c>
      <c r="C333" t="s">
        <v>21</v>
      </c>
      <c r="D333" t="s">
        <v>40</v>
      </c>
      <c r="E333">
        <v>46003</v>
      </c>
      <c r="F333" s="1">
        <v>46004</v>
      </c>
      <c r="G333">
        <v>5</v>
      </c>
      <c r="H333">
        <v>465</v>
      </c>
      <c r="I333" t="s">
        <v>14</v>
      </c>
      <c r="J333" t="s">
        <v>33</v>
      </c>
      <c r="K333" t="s">
        <v>15</v>
      </c>
    </row>
    <row r="334" spans="1:11" x14ac:dyDescent="0.35">
      <c r="A334">
        <v>332</v>
      </c>
      <c r="B334" t="s">
        <v>378</v>
      </c>
      <c r="C334" t="s">
        <v>12</v>
      </c>
      <c r="D334" t="s">
        <v>36</v>
      </c>
      <c r="E334">
        <v>45762</v>
      </c>
      <c r="F334" s="1">
        <v>45767</v>
      </c>
      <c r="G334">
        <v>2</v>
      </c>
      <c r="H334">
        <v>280</v>
      </c>
      <c r="I334" t="s">
        <v>14</v>
      </c>
      <c r="J334" t="s">
        <v>33</v>
      </c>
      <c r="K334" t="s">
        <v>19</v>
      </c>
    </row>
    <row r="335" spans="1:11" x14ac:dyDescent="0.35">
      <c r="A335">
        <v>333</v>
      </c>
      <c r="B335" t="s">
        <v>379</v>
      </c>
      <c r="C335" t="s">
        <v>17</v>
      </c>
      <c r="D335" t="s">
        <v>64</v>
      </c>
      <c r="E335">
        <v>45722</v>
      </c>
      <c r="F335" s="1">
        <v>45732</v>
      </c>
      <c r="G335">
        <v>5</v>
      </c>
      <c r="H335">
        <v>536</v>
      </c>
      <c r="I335" t="s">
        <v>28</v>
      </c>
      <c r="J335" t="s">
        <v>547</v>
      </c>
      <c r="K335" t="s">
        <v>46</v>
      </c>
    </row>
    <row r="336" spans="1:11" x14ac:dyDescent="0.35">
      <c r="A336">
        <v>334</v>
      </c>
      <c r="B336" t="s">
        <v>380</v>
      </c>
      <c r="C336" t="s">
        <v>21</v>
      </c>
      <c r="D336" t="s">
        <v>83</v>
      </c>
      <c r="E336">
        <v>45945</v>
      </c>
      <c r="F336" s="1">
        <v>45949</v>
      </c>
      <c r="G336">
        <v>9</v>
      </c>
      <c r="H336">
        <v>754</v>
      </c>
      <c r="I336" t="s">
        <v>14</v>
      </c>
      <c r="J336" t="s">
        <v>550</v>
      </c>
      <c r="K336" t="s">
        <v>29</v>
      </c>
    </row>
    <row r="337" spans="1:11" x14ac:dyDescent="0.35">
      <c r="A337">
        <v>335</v>
      </c>
      <c r="B337" t="s">
        <v>381</v>
      </c>
      <c r="C337" t="s">
        <v>24</v>
      </c>
      <c r="D337" t="s">
        <v>38</v>
      </c>
      <c r="E337">
        <v>45878</v>
      </c>
      <c r="F337" s="1">
        <v>45883</v>
      </c>
      <c r="G337">
        <v>5</v>
      </c>
      <c r="H337">
        <v>292</v>
      </c>
      <c r="I337" t="s">
        <v>28</v>
      </c>
      <c r="J337" t="s">
        <v>33</v>
      </c>
      <c r="K337" t="s">
        <v>29</v>
      </c>
    </row>
    <row r="338" spans="1:11" x14ac:dyDescent="0.35">
      <c r="A338">
        <v>336</v>
      </c>
      <c r="B338" t="s">
        <v>382</v>
      </c>
      <c r="C338" t="s">
        <v>31</v>
      </c>
      <c r="D338" t="s">
        <v>76</v>
      </c>
      <c r="E338">
        <v>45881</v>
      </c>
      <c r="F338" s="1">
        <v>45890</v>
      </c>
      <c r="G338">
        <v>1</v>
      </c>
      <c r="H338">
        <v>521</v>
      </c>
      <c r="I338" t="s">
        <v>28</v>
      </c>
      <c r="J338" t="s">
        <v>547</v>
      </c>
      <c r="K338" t="s">
        <v>46</v>
      </c>
    </row>
    <row r="339" spans="1:11" x14ac:dyDescent="0.35">
      <c r="A339">
        <v>337</v>
      </c>
      <c r="B339" t="s">
        <v>383</v>
      </c>
      <c r="C339" t="s">
        <v>17</v>
      </c>
      <c r="D339" t="s">
        <v>56</v>
      </c>
      <c r="E339">
        <v>46000</v>
      </c>
      <c r="F339" s="1">
        <v>46001</v>
      </c>
      <c r="G339">
        <v>5</v>
      </c>
      <c r="H339">
        <v>630</v>
      </c>
      <c r="I339" t="s">
        <v>14</v>
      </c>
      <c r="J339" t="s">
        <v>551</v>
      </c>
      <c r="K339" t="s">
        <v>46</v>
      </c>
    </row>
    <row r="340" spans="1:11" x14ac:dyDescent="0.35">
      <c r="A340">
        <v>338</v>
      </c>
      <c r="B340" t="s">
        <v>384</v>
      </c>
      <c r="C340" t="s">
        <v>17</v>
      </c>
      <c r="D340" t="s">
        <v>64</v>
      </c>
      <c r="E340">
        <v>45775</v>
      </c>
      <c r="F340" s="1">
        <v>45778</v>
      </c>
      <c r="G340">
        <v>10</v>
      </c>
      <c r="H340">
        <v>678</v>
      </c>
      <c r="I340" t="s">
        <v>14</v>
      </c>
      <c r="J340" t="s">
        <v>550</v>
      </c>
      <c r="K340" t="s">
        <v>46</v>
      </c>
    </row>
    <row r="341" spans="1:11" x14ac:dyDescent="0.35">
      <c r="A341">
        <v>339</v>
      </c>
      <c r="B341" t="s">
        <v>385</v>
      </c>
      <c r="C341" t="s">
        <v>17</v>
      </c>
      <c r="D341" t="s">
        <v>64</v>
      </c>
      <c r="E341">
        <v>45834</v>
      </c>
      <c r="F341" s="1">
        <v>45842</v>
      </c>
      <c r="G341">
        <v>7</v>
      </c>
      <c r="H341">
        <v>569</v>
      </c>
      <c r="I341" t="s">
        <v>14</v>
      </c>
      <c r="J341" t="s">
        <v>550</v>
      </c>
      <c r="K341" t="s">
        <v>46</v>
      </c>
    </row>
    <row r="342" spans="1:11" x14ac:dyDescent="0.35">
      <c r="A342">
        <v>340</v>
      </c>
      <c r="B342" t="s">
        <v>386</v>
      </c>
      <c r="C342" t="s">
        <v>24</v>
      </c>
      <c r="D342" t="s">
        <v>38</v>
      </c>
      <c r="E342">
        <v>45988</v>
      </c>
      <c r="F342" s="1">
        <v>45994</v>
      </c>
      <c r="G342">
        <v>9</v>
      </c>
      <c r="H342">
        <v>185</v>
      </c>
      <c r="I342" t="s">
        <v>28</v>
      </c>
      <c r="J342" t="s">
        <v>551</v>
      </c>
      <c r="K342" t="s">
        <v>15</v>
      </c>
    </row>
    <row r="343" spans="1:11" x14ac:dyDescent="0.35">
      <c r="A343">
        <v>341</v>
      </c>
      <c r="B343" t="s">
        <v>387</v>
      </c>
      <c r="C343" t="s">
        <v>21</v>
      </c>
      <c r="D343" t="s">
        <v>83</v>
      </c>
      <c r="E343">
        <v>45710</v>
      </c>
      <c r="F343" s="1">
        <v>45712</v>
      </c>
      <c r="G343">
        <v>8</v>
      </c>
      <c r="H343">
        <v>405</v>
      </c>
      <c r="I343" t="s">
        <v>14</v>
      </c>
      <c r="J343" t="s">
        <v>547</v>
      </c>
      <c r="K343" t="s">
        <v>19</v>
      </c>
    </row>
    <row r="344" spans="1:11" x14ac:dyDescent="0.35">
      <c r="A344">
        <v>342</v>
      </c>
      <c r="B344" t="s">
        <v>388</v>
      </c>
      <c r="C344" t="s">
        <v>24</v>
      </c>
      <c r="D344" t="s">
        <v>38</v>
      </c>
      <c r="E344">
        <v>45757</v>
      </c>
      <c r="F344" s="1">
        <v>45765</v>
      </c>
      <c r="G344">
        <v>10</v>
      </c>
      <c r="H344">
        <v>923</v>
      </c>
      <c r="I344" t="s">
        <v>14</v>
      </c>
      <c r="J344" t="s">
        <v>549</v>
      </c>
      <c r="K344" t="s">
        <v>29</v>
      </c>
    </row>
    <row r="345" spans="1:11" x14ac:dyDescent="0.35">
      <c r="A345">
        <v>343</v>
      </c>
      <c r="B345" t="s">
        <v>389</v>
      </c>
      <c r="C345" t="s">
        <v>24</v>
      </c>
      <c r="D345" t="s">
        <v>25</v>
      </c>
      <c r="E345">
        <v>45811</v>
      </c>
      <c r="F345" s="1">
        <v>45815</v>
      </c>
      <c r="G345">
        <v>10</v>
      </c>
      <c r="H345">
        <v>325</v>
      </c>
      <c r="I345" t="s">
        <v>28</v>
      </c>
      <c r="J345" t="s">
        <v>33</v>
      </c>
      <c r="K345" t="s">
        <v>46</v>
      </c>
    </row>
    <row r="346" spans="1:11" x14ac:dyDescent="0.35">
      <c r="A346">
        <v>344</v>
      </c>
      <c r="B346" t="s">
        <v>390</v>
      </c>
      <c r="C346" t="s">
        <v>24</v>
      </c>
      <c r="D346" t="s">
        <v>70</v>
      </c>
      <c r="E346">
        <v>45936</v>
      </c>
      <c r="F346" s="1">
        <v>45941</v>
      </c>
      <c r="G346">
        <v>6</v>
      </c>
      <c r="H346">
        <v>564</v>
      </c>
      <c r="I346" t="s">
        <v>14</v>
      </c>
      <c r="J346" t="s">
        <v>551</v>
      </c>
      <c r="K346" t="s">
        <v>19</v>
      </c>
    </row>
    <row r="347" spans="1:11" x14ac:dyDescent="0.35">
      <c r="A347">
        <v>345</v>
      </c>
      <c r="B347" t="s">
        <v>391</v>
      </c>
      <c r="C347" t="s">
        <v>21</v>
      </c>
      <c r="D347" t="s">
        <v>54</v>
      </c>
      <c r="E347">
        <v>45829</v>
      </c>
      <c r="F347" s="1">
        <v>45836</v>
      </c>
      <c r="G347">
        <v>2</v>
      </c>
      <c r="H347">
        <v>236</v>
      </c>
      <c r="I347" t="s">
        <v>28</v>
      </c>
      <c r="J347" t="s">
        <v>551</v>
      </c>
      <c r="K347" t="s">
        <v>15</v>
      </c>
    </row>
    <row r="348" spans="1:11" x14ac:dyDescent="0.35">
      <c r="A348">
        <v>346</v>
      </c>
      <c r="B348" t="s">
        <v>392</v>
      </c>
      <c r="C348" t="s">
        <v>21</v>
      </c>
      <c r="D348" t="s">
        <v>40</v>
      </c>
      <c r="E348">
        <v>45964</v>
      </c>
      <c r="F348" s="1">
        <v>45971</v>
      </c>
      <c r="G348">
        <v>1</v>
      </c>
      <c r="H348">
        <v>741</v>
      </c>
      <c r="I348" t="s">
        <v>14</v>
      </c>
      <c r="J348" t="s">
        <v>549</v>
      </c>
      <c r="K348" t="s">
        <v>29</v>
      </c>
    </row>
    <row r="349" spans="1:11" x14ac:dyDescent="0.35">
      <c r="A349">
        <v>347</v>
      </c>
      <c r="B349" t="s">
        <v>393</v>
      </c>
      <c r="C349" t="s">
        <v>12</v>
      </c>
      <c r="D349" t="s">
        <v>27</v>
      </c>
      <c r="E349">
        <v>45911</v>
      </c>
      <c r="F349" s="1">
        <v>45917</v>
      </c>
      <c r="G349">
        <v>6</v>
      </c>
      <c r="H349">
        <v>992</v>
      </c>
      <c r="I349" t="s">
        <v>28</v>
      </c>
      <c r="J349" t="s">
        <v>549</v>
      </c>
      <c r="K349" t="s">
        <v>15</v>
      </c>
    </row>
    <row r="350" spans="1:11" x14ac:dyDescent="0.35">
      <c r="A350">
        <v>348</v>
      </c>
      <c r="B350" t="s">
        <v>394</v>
      </c>
      <c r="C350" t="s">
        <v>24</v>
      </c>
      <c r="D350" t="s">
        <v>25</v>
      </c>
      <c r="E350">
        <v>45920</v>
      </c>
      <c r="F350" s="1">
        <v>45921</v>
      </c>
      <c r="G350">
        <v>5</v>
      </c>
      <c r="H350">
        <v>55</v>
      </c>
      <c r="I350" t="s">
        <v>14</v>
      </c>
      <c r="J350" t="s">
        <v>551</v>
      </c>
      <c r="K350" t="s">
        <v>46</v>
      </c>
    </row>
    <row r="351" spans="1:11" x14ac:dyDescent="0.35">
      <c r="A351">
        <v>349</v>
      </c>
      <c r="B351" t="s">
        <v>395</v>
      </c>
      <c r="C351" t="s">
        <v>17</v>
      </c>
      <c r="D351" t="s">
        <v>56</v>
      </c>
      <c r="E351">
        <v>45742</v>
      </c>
      <c r="F351" s="1">
        <v>45751</v>
      </c>
      <c r="G351">
        <v>7</v>
      </c>
      <c r="H351">
        <v>216</v>
      </c>
      <c r="I351" t="s">
        <v>28</v>
      </c>
      <c r="J351" t="s">
        <v>550</v>
      </c>
      <c r="K351" t="s">
        <v>19</v>
      </c>
    </row>
    <row r="352" spans="1:11" x14ac:dyDescent="0.35">
      <c r="A352">
        <v>350</v>
      </c>
      <c r="B352" t="s">
        <v>396</v>
      </c>
      <c r="C352" t="s">
        <v>21</v>
      </c>
      <c r="D352" t="s">
        <v>83</v>
      </c>
      <c r="E352">
        <v>46011</v>
      </c>
      <c r="F352" s="1">
        <v>46013</v>
      </c>
      <c r="G352">
        <v>3</v>
      </c>
      <c r="H352">
        <v>375</v>
      </c>
      <c r="I352" t="s">
        <v>28</v>
      </c>
      <c r="J352" t="s">
        <v>547</v>
      </c>
      <c r="K352" t="s">
        <v>29</v>
      </c>
    </row>
    <row r="353" spans="1:11" x14ac:dyDescent="0.35">
      <c r="A353">
        <v>351</v>
      </c>
      <c r="B353" t="s">
        <v>397</v>
      </c>
      <c r="C353" t="s">
        <v>21</v>
      </c>
      <c r="D353" t="s">
        <v>40</v>
      </c>
      <c r="E353">
        <v>45702</v>
      </c>
      <c r="F353" s="1">
        <v>45712</v>
      </c>
      <c r="G353">
        <v>10</v>
      </c>
      <c r="H353">
        <v>503</v>
      </c>
      <c r="I353" t="s">
        <v>28</v>
      </c>
      <c r="J353" t="s">
        <v>550</v>
      </c>
      <c r="K353" t="s">
        <v>46</v>
      </c>
    </row>
    <row r="354" spans="1:11" x14ac:dyDescent="0.35">
      <c r="A354">
        <v>352</v>
      </c>
      <c r="B354" t="s">
        <v>398</v>
      </c>
      <c r="C354" t="s">
        <v>24</v>
      </c>
      <c r="D354" t="s">
        <v>70</v>
      </c>
      <c r="E354">
        <v>45810</v>
      </c>
      <c r="F354" s="1">
        <v>45817</v>
      </c>
      <c r="G354">
        <v>6</v>
      </c>
      <c r="H354">
        <v>974</v>
      </c>
      <c r="I354" t="s">
        <v>14</v>
      </c>
      <c r="J354" t="s">
        <v>549</v>
      </c>
      <c r="K354" t="s">
        <v>19</v>
      </c>
    </row>
    <row r="355" spans="1:11" x14ac:dyDescent="0.35">
      <c r="A355">
        <v>353</v>
      </c>
      <c r="B355" t="s">
        <v>399</v>
      </c>
      <c r="C355" t="s">
        <v>24</v>
      </c>
      <c r="D355" t="s">
        <v>25</v>
      </c>
      <c r="E355">
        <v>45863</v>
      </c>
      <c r="F355" s="1">
        <v>45870</v>
      </c>
      <c r="G355">
        <v>3</v>
      </c>
      <c r="H355">
        <v>486</v>
      </c>
      <c r="I355" t="s">
        <v>14</v>
      </c>
      <c r="J355" t="s">
        <v>549</v>
      </c>
      <c r="K355" t="s">
        <v>46</v>
      </c>
    </row>
    <row r="356" spans="1:11" x14ac:dyDescent="0.35">
      <c r="A356">
        <v>354</v>
      </c>
      <c r="B356" t="s">
        <v>400</v>
      </c>
      <c r="C356" t="s">
        <v>12</v>
      </c>
      <c r="D356" t="s">
        <v>58</v>
      </c>
      <c r="E356">
        <v>45947</v>
      </c>
      <c r="F356" s="1">
        <v>45952</v>
      </c>
      <c r="G356">
        <v>5</v>
      </c>
      <c r="H356">
        <v>803</v>
      </c>
      <c r="I356" t="s">
        <v>14</v>
      </c>
      <c r="J356" t="s">
        <v>33</v>
      </c>
      <c r="K356" t="s">
        <v>19</v>
      </c>
    </row>
    <row r="357" spans="1:11" x14ac:dyDescent="0.35">
      <c r="A357">
        <v>355</v>
      </c>
      <c r="B357" t="s">
        <v>401</v>
      </c>
      <c r="C357" t="s">
        <v>24</v>
      </c>
      <c r="D357" t="s">
        <v>25</v>
      </c>
      <c r="E357">
        <v>45863</v>
      </c>
      <c r="F357" s="1">
        <v>45868</v>
      </c>
      <c r="G357">
        <v>4</v>
      </c>
      <c r="H357">
        <v>176</v>
      </c>
      <c r="I357" t="s">
        <v>28</v>
      </c>
      <c r="J357" t="s">
        <v>551</v>
      </c>
      <c r="K357" t="s">
        <v>29</v>
      </c>
    </row>
    <row r="358" spans="1:11" x14ac:dyDescent="0.35">
      <c r="A358">
        <v>356</v>
      </c>
      <c r="B358" t="s">
        <v>402</v>
      </c>
      <c r="C358" t="s">
        <v>24</v>
      </c>
      <c r="D358" t="s">
        <v>38</v>
      </c>
      <c r="E358">
        <v>45732</v>
      </c>
      <c r="F358" s="1">
        <v>45745</v>
      </c>
      <c r="G358">
        <v>4</v>
      </c>
      <c r="H358">
        <v>468</v>
      </c>
      <c r="I358" t="s">
        <v>28</v>
      </c>
      <c r="J358" t="s">
        <v>549</v>
      </c>
      <c r="K358" t="s">
        <v>15</v>
      </c>
    </row>
    <row r="359" spans="1:11" x14ac:dyDescent="0.35">
      <c r="A359">
        <v>357</v>
      </c>
      <c r="B359" t="s">
        <v>403</v>
      </c>
      <c r="C359" t="s">
        <v>31</v>
      </c>
      <c r="D359" t="s">
        <v>76</v>
      </c>
      <c r="E359">
        <v>45775</v>
      </c>
      <c r="F359" s="1">
        <v>45780</v>
      </c>
      <c r="G359">
        <v>3</v>
      </c>
      <c r="H359">
        <v>788</v>
      </c>
      <c r="I359" t="s">
        <v>14</v>
      </c>
      <c r="J359" t="s">
        <v>549</v>
      </c>
      <c r="K359" t="s">
        <v>19</v>
      </c>
    </row>
    <row r="360" spans="1:11" x14ac:dyDescent="0.35">
      <c r="A360">
        <v>358</v>
      </c>
      <c r="B360" t="s">
        <v>404</v>
      </c>
      <c r="C360" t="s">
        <v>21</v>
      </c>
      <c r="D360" t="s">
        <v>83</v>
      </c>
      <c r="E360">
        <v>45700</v>
      </c>
      <c r="F360" s="1">
        <v>45701</v>
      </c>
      <c r="G360">
        <v>8</v>
      </c>
      <c r="H360">
        <v>509</v>
      </c>
      <c r="I360" t="s">
        <v>14</v>
      </c>
      <c r="J360" t="s">
        <v>33</v>
      </c>
      <c r="K360" t="s">
        <v>19</v>
      </c>
    </row>
    <row r="361" spans="1:11" x14ac:dyDescent="0.35">
      <c r="A361">
        <v>359</v>
      </c>
      <c r="B361" t="s">
        <v>405</v>
      </c>
      <c r="C361" t="s">
        <v>31</v>
      </c>
      <c r="D361" t="s">
        <v>42</v>
      </c>
      <c r="E361">
        <v>45692</v>
      </c>
      <c r="F361" s="1">
        <v>45707</v>
      </c>
      <c r="G361">
        <v>2</v>
      </c>
      <c r="H361">
        <v>530</v>
      </c>
      <c r="I361" t="s">
        <v>28</v>
      </c>
      <c r="J361" t="s">
        <v>551</v>
      </c>
      <c r="K361" t="s">
        <v>46</v>
      </c>
    </row>
    <row r="362" spans="1:11" x14ac:dyDescent="0.35">
      <c r="A362">
        <v>360</v>
      </c>
      <c r="B362" t="s">
        <v>406</v>
      </c>
      <c r="C362" t="s">
        <v>31</v>
      </c>
      <c r="D362" t="s">
        <v>76</v>
      </c>
      <c r="E362">
        <v>45759</v>
      </c>
      <c r="F362" s="1">
        <v>45767</v>
      </c>
      <c r="G362">
        <v>7</v>
      </c>
      <c r="H362">
        <v>744</v>
      </c>
      <c r="I362" t="s">
        <v>14</v>
      </c>
      <c r="J362" t="s">
        <v>550</v>
      </c>
      <c r="K362" t="s">
        <v>19</v>
      </c>
    </row>
    <row r="363" spans="1:11" x14ac:dyDescent="0.35">
      <c r="A363">
        <v>361</v>
      </c>
      <c r="B363" t="s">
        <v>407</v>
      </c>
      <c r="C363" t="s">
        <v>24</v>
      </c>
      <c r="D363" t="s">
        <v>38</v>
      </c>
      <c r="E363">
        <v>45892</v>
      </c>
      <c r="F363" s="1">
        <v>45903</v>
      </c>
      <c r="G363">
        <v>4</v>
      </c>
      <c r="H363">
        <v>444</v>
      </c>
      <c r="I363" t="s">
        <v>28</v>
      </c>
      <c r="J363" t="s">
        <v>33</v>
      </c>
      <c r="K363" t="s">
        <v>15</v>
      </c>
    </row>
    <row r="364" spans="1:11" x14ac:dyDescent="0.35">
      <c r="A364">
        <v>362</v>
      </c>
      <c r="B364" t="s">
        <v>408</v>
      </c>
      <c r="C364" t="s">
        <v>24</v>
      </c>
      <c r="D364" t="s">
        <v>70</v>
      </c>
      <c r="E364">
        <v>45858</v>
      </c>
      <c r="F364" s="1">
        <v>45866</v>
      </c>
      <c r="G364">
        <v>7</v>
      </c>
      <c r="H364">
        <v>474</v>
      </c>
      <c r="I364" t="s">
        <v>14</v>
      </c>
      <c r="J364" t="s">
        <v>550</v>
      </c>
      <c r="K364" t="s">
        <v>15</v>
      </c>
    </row>
    <row r="365" spans="1:11" x14ac:dyDescent="0.35">
      <c r="A365">
        <v>363</v>
      </c>
      <c r="B365" t="s">
        <v>409</v>
      </c>
      <c r="C365" t="s">
        <v>12</v>
      </c>
      <c r="D365" t="s">
        <v>27</v>
      </c>
      <c r="E365">
        <v>45931</v>
      </c>
      <c r="F365" s="1">
        <v>45936</v>
      </c>
      <c r="G365">
        <v>8</v>
      </c>
      <c r="H365">
        <v>731</v>
      </c>
      <c r="I365" t="s">
        <v>14</v>
      </c>
      <c r="J365" t="s">
        <v>547</v>
      </c>
      <c r="K365" t="s">
        <v>46</v>
      </c>
    </row>
    <row r="366" spans="1:11" x14ac:dyDescent="0.35">
      <c r="A366">
        <v>364</v>
      </c>
      <c r="B366" t="s">
        <v>410</v>
      </c>
      <c r="C366" t="s">
        <v>17</v>
      </c>
      <c r="D366" t="s">
        <v>18</v>
      </c>
      <c r="E366">
        <v>45804</v>
      </c>
      <c r="F366" s="1">
        <v>45811</v>
      </c>
      <c r="G366">
        <v>2</v>
      </c>
      <c r="H366">
        <v>288</v>
      </c>
      <c r="I366" t="s">
        <v>14</v>
      </c>
      <c r="J366" t="s">
        <v>547</v>
      </c>
      <c r="K366" t="s">
        <v>46</v>
      </c>
    </row>
    <row r="367" spans="1:11" x14ac:dyDescent="0.35">
      <c r="A367">
        <v>365</v>
      </c>
      <c r="B367" t="s">
        <v>411</v>
      </c>
      <c r="C367" t="s">
        <v>21</v>
      </c>
      <c r="D367" t="s">
        <v>83</v>
      </c>
      <c r="E367">
        <v>46007</v>
      </c>
      <c r="F367" s="1">
        <v>46022</v>
      </c>
      <c r="G367">
        <v>8</v>
      </c>
      <c r="H367">
        <v>179</v>
      </c>
      <c r="I367" t="s">
        <v>28</v>
      </c>
      <c r="J367" t="s">
        <v>33</v>
      </c>
      <c r="K367" t="s">
        <v>29</v>
      </c>
    </row>
    <row r="368" spans="1:11" x14ac:dyDescent="0.35">
      <c r="A368">
        <v>366</v>
      </c>
      <c r="B368" t="s">
        <v>412</v>
      </c>
      <c r="C368" t="s">
        <v>17</v>
      </c>
      <c r="D368" t="s">
        <v>56</v>
      </c>
      <c r="E368">
        <v>45725</v>
      </c>
      <c r="F368" s="1">
        <v>45730</v>
      </c>
      <c r="G368">
        <v>6</v>
      </c>
      <c r="H368">
        <v>788</v>
      </c>
      <c r="I368" t="s">
        <v>14</v>
      </c>
      <c r="J368" t="s">
        <v>549</v>
      </c>
      <c r="K368" t="s">
        <v>46</v>
      </c>
    </row>
    <row r="369" spans="1:11" x14ac:dyDescent="0.35">
      <c r="A369">
        <v>367</v>
      </c>
      <c r="B369" t="s">
        <v>413</v>
      </c>
      <c r="C369" t="s">
        <v>21</v>
      </c>
      <c r="D369" t="s">
        <v>40</v>
      </c>
      <c r="E369">
        <v>45883</v>
      </c>
      <c r="F369" s="1">
        <v>45885</v>
      </c>
      <c r="G369">
        <v>3</v>
      </c>
      <c r="H369">
        <v>949</v>
      </c>
      <c r="I369" t="s">
        <v>14</v>
      </c>
      <c r="J369" t="s">
        <v>33</v>
      </c>
      <c r="K369" t="s">
        <v>29</v>
      </c>
    </row>
    <row r="370" spans="1:11" x14ac:dyDescent="0.35">
      <c r="A370">
        <v>368</v>
      </c>
      <c r="B370" t="s">
        <v>414</v>
      </c>
      <c r="C370" t="s">
        <v>17</v>
      </c>
      <c r="D370" t="s">
        <v>64</v>
      </c>
      <c r="E370">
        <v>45977</v>
      </c>
      <c r="F370" s="1">
        <v>45986</v>
      </c>
      <c r="G370">
        <v>8</v>
      </c>
      <c r="H370">
        <v>137</v>
      </c>
      <c r="I370" t="s">
        <v>14</v>
      </c>
      <c r="J370" t="s">
        <v>550</v>
      </c>
      <c r="K370" t="s">
        <v>15</v>
      </c>
    </row>
    <row r="371" spans="1:11" x14ac:dyDescent="0.35">
      <c r="A371">
        <v>369</v>
      </c>
      <c r="B371" t="s">
        <v>415</v>
      </c>
      <c r="C371" t="s">
        <v>12</v>
      </c>
      <c r="D371" t="s">
        <v>27</v>
      </c>
      <c r="E371">
        <v>45895</v>
      </c>
      <c r="F371" s="1">
        <v>45898</v>
      </c>
      <c r="G371">
        <v>2</v>
      </c>
      <c r="H371">
        <v>968</v>
      </c>
      <c r="I371" t="s">
        <v>28</v>
      </c>
      <c r="J371" t="s">
        <v>551</v>
      </c>
      <c r="K371" t="s">
        <v>46</v>
      </c>
    </row>
    <row r="372" spans="1:11" x14ac:dyDescent="0.35">
      <c r="A372">
        <v>370</v>
      </c>
      <c r="B372" t="s">
        <v>416</v>
      </c>
      <c r="C372" t="s">
        <v>24</v>
      </c>
      <c r="D372" t="s">
        <v>70</v>
      </c>
      <c r="E372">
        <v>45913</v>
      </c>
      <c r="F372" s="1">
        <v>45922</v>
      </c>
      <c r="G372">
        <v>9</v>
      </c>
      <c r="H372">
        <v>605</v>
      </c>
      <c r="I372" t="s">
        <v>28</v>
      </c>
      <c r="J372" t="s">
        <v>550</v>
      </c>
      <c r="K372" t="s">
        <v>46</v>
      </c>
    </row>
    <row r="373" spans="1:11" x14ac:dyDescent="0.35">
      <c r="A373">
        <v>371</v>
      </c>
      <c r="B373" t="s">
        <v>417</v>
      </c>
      <c r="C373" t="s">
        <v>24</v>
      </c>
      <c r="D373" t="s">
        <v>25</v>
      </c>
      <c r="E373">
        <v>45932</v>
      </c>
      <c r="F373" s="1">
        <v>45942</v>
      </c>
      <c r="G373">
        <v>5</v>
      </c>
      <c r="H373">
        <v>50</v>
      </c>
      <c r="I373" t="s">
        <v>28</v>
      </c>
      <c r="J373" t="s">
        <v>547</v>
      </c>
      <c r="K373" t="s">
        <v>19</v>
      </c>
    </row>
    <row r="374" spans="1:11" x14ac:dyDescent="0.35">
      <c r="A374">
        <v>372</v>
      </c>
      <c r="B374" t="s">
        <v>418</v>
      </c>
      <c r="C374" t="s">
        <v>12</v>
      </c>
      <c r="D374" t="s">
        <v>13</v>
      </c>
      <c r="E374">
        <v>46003</v>
      </c>
      <c r="F374" s="1">
        <v>46014</v>
      </c>
      <c r="G374">
        <v>9</v>
      </c>
      <c r="H374">
        <v>647</v>
      </c>
      <c r="I374" t="s">
        <v>14</v>
      </c>
      <c r="J374" t="s">
        <v>549</v>
      </c>
      <c r="K374" t="s">
        <v>29</v>
      </c>
    </row>
    <row r="375" spans="1:11" x14ac:dyDescent="0.35">
      <c r="A375">
        <v>373</v>
      </c>
      <c r="B375" t="s">
        <v>419</v>
      </c>
      <c r="C375" t="s">
        <v>21</v>
      </c>
      <c r="D375" t="s">
        <v>83</v>
      </c>
      <c r="E375">
        <v>45790</v>
      </c>
      <c r="F375" s="1">
        <v>45793</v>
      </c>
      <c r="G375">
        <v>10</v>
      </c>
      <c r="H375">
        <v>253</v>
      </c>
      <c r="I375" t="s">
        <v>14</v>
      </c>
      <c r="J375" t="s">
        <v>549</v>
      </c>
      <c r="K375" t="s">
        <v>19</v>
      </c>
    </row>
    <row r="376" spans="1:11" x14ac:dyDescent="0.35">
      <c r="A376">
        <v>374</v>
      </c>
      <c r="B376" t="s">
        <v>420</v>
      </c>
      <c r="C376" t="s">
        <v>17</v>
      </c>
      <c r="D376" t="s">
        <v>44</v>
      </c>
      <c r="E376">
        <v>45821</v>
      </c>
      <c r="F376" s="1">
        <v>45828</v>
      </c>
      <c r="G376">
        <v>10</v>
      </c>
      <c r="H376">
        <v>525</v>
      </c>
      <c r="I376" t="s">
        <v>28</v>
      </c>
      <c r="J376" t="s">
        <v>549</v>
      </c>
      <c r="K376" t="s">
        <v>46</v>
      </c>
    </row>
    <row r="377" spans="1:11" x14ac:dyDescent="0.35">
      <c r="A377">
        <v>375</v>
      </c>
      <c r="B377" t="s">
        <v>421</v>
      </c>
      <c r="C377" t="s">
        <v>21</v>
      </c>
      <c r="D377" t="s">
        <v>54</v>
      </c>
      <c r="E377">
        <v>45704</v>
      </c>
      <c r="F377" s="1">
        <v>45710</v>
      </c>
      <c r="G377">
        <v>6</v>
      </c>
      <c r="H377">
        <v>678</v>
      </c>
      <c r="I377" t="s">
        <v>28</v>
      </c>
      <c r="J377" t="s">
        <v>551</v>
      </c>
      <c r="K377" t="s">
        <v>46</v>
      </c>
    </row>
    <row r="378" spans="1:11" x14ac:dyDescent="0.35">
      <c r="A378">
        <v>376</v>
      </c>
      <c r="B378" t="s">
        <v>422</v>
      </c>
      <c r="C378" t="s">
        <v>21</v>
      </c>
      <c r="D378" t="s">
        <v>54</v>
      </c>
      <c r="E378">
        <v>45905</v>
      </c>
      <c r="F378" s="1">
        <v>45907</v>
      </c>
      <c r="G378">
        <v>6</v>
      </c>
      <c r="H378">
        <v>117</v>
      </c>
      <c r="I378" t="s">
        <v>14</v>
      </c>
      <c r="J378" t="s">
        <v>547</v>
      </c>
      <c r="K378" t="s">
        <v>15</v>
      </c>
    </row>
    <row r="379" spans="1:11" x14ac:dyDescent="0.35">
      <c r="A379">
        <v>377</v>
      </c>
      <c r="B379" t="s">
        <v>423</v>
      </c>
      <c r="C379" t="s">
        <v>21</v>
      </c>
      <c r="D379" t="s">
        <v>54</v>
      </c>
      <c r="E379">
        <v>45701</v>
      </c>
      <c r="F379" s="1">
        <v>45715</v>
      </c>
      <c r="G379">
        <v>3</v>
      </c>
      <c r="H379">
        <v>262</v>
      </c>
      <c r="I379" t="s">
        <v>28</v>
      </c>
      <c r="J379" t="s">
        <v>550</v>
      </c>
      <c r="K379" t="s">
        <v>19</v>
      </c>
    </row>
    <row r="380" spans="1:11" x14ac:dyDescent="0.35">
      <c r="A380">
        <v>378</v>
      </c>
      <c r="B380" t="s">
        <v>424</v>
      </c>
      <c r="C380" t="s">
        <v>24</v>
      </c>
      <c r="D380" t="s">
        <v>70</v>
      </c>
      <c r="E380">
        <v>45848</v>
      </c>
      <c r="F380" s="1">
        <v>45856</v>
      </c>
      <c r="G380">
        <v>8</v>
      </c>
      <c r="H380">
        <v>360</v>
      </c>
      <c r="I380" t="s">
        <v>28</v>
      </c>
      <c r="J380" t="s">
        <v>550</v>
      </c>
      <c r="K380" t="s">
        <v>29</v>
      </c>
    </row>
    <row r="381" spans="1:11" x14ac:dyDescent="0.35">
      <c r="A381">
        <v>379</v>
      </c>
      <c r="B381" t="s">
        <v>425</v>
      </c>
      <c r="C381" t="s">
        <v>24</v>
      </c>
      <c r="D381" t="s">
        <v>38</v>
      </c>
      <c r="E381">
        <v>45952</v>
      </c>
      <c r="F381" s="1">
        <v>45953</v>
      </c>
      <c r="G381">
        <v>10</v>
      </c>
      <c r="H381">
        <v>279</v>
      </c>
      <c r="I381" t="s">
        <v>14</v>
      </c>
      <c r="J381" t="s">
        <v>549</v>
      </c>
      <c r="K381" t="s">
        <v>46</v>
      </c>
    </row>
    <row r="382" spans="1:11" x14ac:dyDescent="0.35">
      <c r="A382">
        <v>380</v>
      </c>
      <c r="B382" t="s">
        <v>426</v>
      </c>
      <c r="C382" t="s">
        <v>17</v>
      </c>
      <c r="D382" t="s">
        <v>64</v>
      </c>
      <c r="E382">
        <v>45675</v>
      </c>
      <c r="F382" s="1">
        <v>45678</v>
      </c>
      <c r="G382">
        <v>4</v>
      </c>
      <c r="H382">
        <v>801</v>
      </c>
      <c r="I382" t="s">
        <v>14</v>
      </c>
      <c r="J382" t="s">
        <v>550</v>
      </c>
      <c r="K382" t="s">
        <v>15</v>
      </c>
    </row>
    <row r="383" spans="1:11" x14ac:dyDescent="0.35">
      <c r="A383">
        <v>381</v>
      </c>
      <c r="B383" t="s">
        <v>427</v>
      </c>
      <c r="C383" t="s">
        <v>31</v>
      </c>
      <c r="D383" t="s">
        <v>76</v>
      </c>
      <c r="E383">
        <v>45989</v>
      </c>
      <c r="F383" s="1">
        <v>45993</v>
      </c>
      <c r="G383">
        <v>4</v>
      </c>
      <c r="H383">
        <v>346</v>
      </c>
      <c r="I383" t="s">
        <v>28</v>
      </c>
      <c r="J383" t="s">
        <v>551</v>
      </c>
      <c r="K383" t="s">
        <v>29</v>
      </c>
    </row>
    <row r="384" spans="1:11" x14ac:dyDescent="0.35">
      <c r="A384">
        <v>382</v>
      </c>
      <c r="B384" t="s">
        <v>428</v>
      </c>
      <c r="C384" t="s">
        <v>21</v>
      </c>
      <c r="D384" t="s">
        <v>54</v>
      </c>
      <c r="E384">
        <v>45695</v>
      </c>
      <c r="F384" s="1">
        <v>45706</v>
      </c>
      <c r="G384">
        <v>5</v>
      </c>
      <c r="H384">
        <v>215</v>
      </c>
      <c r="I384" t="s">
        <v>28</v>
      </c>
      <c r="J384" t="s">
        <v>33</v>
      </c>
      <c r="K384" t="s">
        <v>19</v>
      </c>
    </row>
    <row r="385" spans="1:11" x14ac:dyDescent="0.35">
      <c r="A385">
        <v>383</v>
      </c>
      <c r="B385" t="s">
        <v>429</v>
      </c>
      <c r="C385" t="s">
        <v>12</v>
      </c>
      <c r="D385" t="s">
        <v>58</v>
      </c>
      <c r="E385">
        <v>45764</v>
      </c>
      <c r="F385" s="1">
        <v>45769</v>
      </c>
      <c r="G385">
        <v>9</v>
      </c>
      <c r="H385">
        <v>860</v>
      </c>
      <c r="I385" t="s">
        <v>14</v>
      </c>
      <c r="J385" t="s">
        <v>547</v>
      </c>
      <c r="K385" t="s">
        <v>46</v>
      </c>
    </row>
    <row r="386" spans="1:11" x14ac:dyDescent="0.35">
      <c r="A386">
        <v>384</v>
      </c>
      <c r="B386" t="s">
        <v>430</v>
      </c>
      <c r="C386" t="s">
        <v>21</v>
      </c>
      <c r="D386" t="s">
        <v>22</v>
      </c>
      <c r="E386">
        <v>45695</v>
      </c>
      <c r="F386" s="1">
        <v>45704</v>
      </c>
      <c r="G386">
        <v>2</v>
      </c>
      <c r="H386">
        <v>461</v>
      </c>
      <c r="I386" t="s">
        <v>28</v>
      </c>
      <c r="J386" t="s">
        <v>549</v>
      </c>
      <c r="K386" t="s">
        <v>19</v>
      </c>
    </row>
    <row r="387" spans="1:11" x14ac:dyDescent="0.35">
      <c r="A387">
        <v>385</v>
      </c>
      <c r="B387" t="s">
        <v>431</v>
      </c>
      <c r="C387" t="s">
        <v>24</v>
      </c>
      <c r="D387" t="s">
        <v>25</v>
      </c>
      <c r="E387">
        <v>45988</v>
      </c>
      <c r="F387" s="1">
        <v>45997</v>
      </c>
      <c r="G387">
        <v>7</v>
      </c>
      <c r="H387">
        <v>579</v>
      </c>
      <c r="I387" t="s">
        <v>14</v>
      </c>
      <c r="J387" t="s">
        <v>551</v>
      </c>
      <c r="K387" t="s">
        <v>46</v>
      </c>
    </row>
    <row r="388" spans="1:11" x14ac:dyDescent="0.35">
      <c r="A388">
        <v>386</v>
      </c>
      <c r="B388" t="s">
        <v>432</v>
      </c>
      <c r="C388" t="s">
        <v>12</v>
      </c>
      <c r="D388" t="s">
        <v>13</v>
      </c>
      <c r="E388">
        <v>45949</v>
      </c>
      <c r="F388" s="1">
        <v>45953</v>
      </c>
      <c r="G388">
        <v>3</v>
      </c>
      <c r="H388">
        <v>982</v>
      </c>
      <c r="I388" t="s">
        <v>28</v>
      </c>
      <c r="J388" t="s">
        <v>551</v>
      </c>
      <c r="K388" t="s">
        <v>46</v>
      </c>
    </row>
    <row r="389" spans="1:11" x14ac:dyDescent="0.35">
      <c r="A389">
        <v>387</v>
      </c>
      <c r="B389" t="s">
        <v>433</v>
      </c>
      <c r="C389" t="s">
        <v>24</v>
      </c>
      <c r="D389" t="s">
        <v>70</v>
      </c>
      <c r="E389">
        <v>45842</v>
      </c>
      <c r="F389" s="1">
        <v>45849</v>
      </c>
      <c r="G389">
        <v>2</v>
      </c>
      <c r="H389">
        <v>969</v>
      </c>
      <c r="I389" t="s">
        <v>14</v>
      </c>
      <c r="J389" t="s">
        <v>33</v>
      </c>
      <c r="K389" t="s">
        <v>46</v>
      </c>
    </row>
    <row r="390" spans="1:11" x14ac:dyDescent="0.35">
      <c r="A390">
        <v>388</v>
      </c>
      <c r="B390" t="s">
        <v>434</v>
      </c>
      <c r="C390" t="s">
        <v>17</v>
      </c>
      <c r="D390" t="s">
        <v>18</v>
      </c>
      <c r="E390">
        <v>45679</v>
      </c>
      <c r="F390" s="1">
        <v>45686</v>
      </c>
      <c r="G390">
        <v>6</v>
      </c>
      <c r="H390">
        <v>563</v>
      </c>
      <c r="I390" t="s">
        <v>14</v>
      </c>
      <c r="J390" t="s">
        <v>551</v>
      </c>
      <c r="K390" t="s">
        <v>46</v>
      </c>
    </row>
    <row r="391" spans="1:11" x14ac:dyDescent="0.35">
      <c r="A391">
        <v>389</v>
      </c>
      <c r="B391" t="s">
        <v>435</v>
      </c>
      <c r="C391" t="s">
        <v>21</v>
      </c>
      <c r="D391" t="s">
        <v>54</v>
      </c>
      <c r="E391">
        <v>45881</v>
      </c>
      <c r="F391" s="1">
        <v>45891</v>
      </c>
      <c r="G391">
        <v>7</v>
      </c>
      <c r="H391">
        <v>894</v>
      </c>
      <c r="I391" t="s">
        <v>14</v>
      </c>
      <c r="J391" t="s">
        <v>550</v>
      </c>
      <c r="K391" t="s">
        <v>15</v>
      </c>
    </row>
    <row r="392" spans="1:11" x14ac:dyDescent="0.35">
      <c r="A392">
        <v>390</v>
      </c>
      <c r="B392" t="s">
        <v>436</v>
      </c>
      <c r="C392" t="s">
        <v>31</v>
      </c>
      <c r="D392" t="s">
        <v>76</v>
      </c>
      <c r="E392">
        <v>45881</v>
      </c>
      <c r="F392" s="1">
        <v>45882</v>
      </c>
      <c r="G392">
        <v>8</v>
      </c>
      <c r="H392">
        <v>177</v>
      </c>
      <c r="I392" t="s">
        <v>14</v>
      </c>
      <c r="J392" t="s">
        <v>551</v>
      </c>
      <c r="K392" t="s">
        <v>15</v>
      </c>
    </row>
    <row r="393" spans="1:11" x14ac:dyDescent="0.35">
      <c r="A393">
        <v>391</v>
      </c>
      <c r="B393" t="s">
        <v>437</v>
      </c>
      <c r="C393" t="s">
        <v>17</v>
      </c>
      <c r="D393" t="s">
        <v>44</v>
      </c>
      <c r="E393">
        <v>46019</v>
      </c>
      <c r="F393" s="1">
        <v>46021</v>
      </c>
      <c r="G393">
        <v>9</v>
      </c>
      <c r="H393">
        <v>455</v>
      </c>
      <c r="I393" t="s">
        <v>14</v>
      </c>
      <c r="J393" t="s">
        <v>547</v>
      </c>
      <c r="K393" t="s">
        <v>29</v>
      </c>
    </row>
    <row r="394" spans="1:11" x14ac:dyDescent="0.35">
      <c r="A394">
        <v>392</v>
      </c>
      <c r="B394" t="s">
        <v>438</v>
      </c>
      <c r="C394" t="s">
        <v>21</v>
      </c>
      <c r="D394" t="s">
        <v>54</v>
      </c>
      <c r="E394">
        <v>45737</v>
      </c>
      <c r="F394" s="1">
        <v>45746</v>
      </c>
      <c r="G394">
        <v>6</v>
      </c>
      <c r="H394">
        <v>565</v>
      </c>
      <c r="I394" t="s">
        <v>14</v>
      </c>
      <c r="J394" t="s">
        <v>549</v>
      </c>
      <c r="K394" t="s">
        <v>46</v>
      </c>
    </row>
    <row r="395" spans="1:11" x14ac:dyDescent="0.35">
      <c r="A395">
        <v>393</v>
      </c>
      <c r="B395" t="s">
        <v>439</v>
      </c>
      <c r="C395" t="s">
        <v>12</v>
      </c>
      <c r="D395" t="s">
        <v>27</v>
      </c>
      <c r="E395">
        <v>45924</v>
      </c>
      <c r="F395" s="1">
        <v>45931</v>
      </c>
      <c r="G395">
        <v>3</v>
      </c>
      <c r="H395">
        <v>565</v>
      </c>
      <c r="I395" t="s">
        <v>14</v>
      </c>
      <c r="J395" t="s">
        <v>33</v>
      </c>
      <c r="K395" t="s">
        <v>15</v>
      </c>
    </row>
    <row r="396" spans="1:11" x14ac:dyDescent="0.35">
      <c r="A396">
        <v>394</v>
      </c>
      <c r="B396" t="s">
        <v>440</v>
      </c>
      <c r="C396" t="s">
        <v>21</v>
      </c>
      <c r="D396" t="s">
        <v>22</v>
      </c>
      <c r="E396">
        <v>45895</v>
      </c>
      <c r="F396" s="1">
        <v>45896</v>
      </c>
      <c r="G396">
        <v>10</v>
      </c>
      <c r="H396">
        <v>572</v>
      </c>
      <c r="I396" t="s">
        <v>14</v>
      </c>
      <c r="J396" t="s">
        <v>33</v>
      </c>
      <c r="K396" t="s">
        <v>19</v>
      </c>
    </row>
    <row r="397" spans="1:11" x14ac:dyDescent="0.35">
      <c r="A397">
        <v>395</v>
      </c>
      <c r="B397" t="s">
        <v>441</v>
      </c>
      <c r="C397" t="s">
        <v>17</v>
      </c>
      <c r="D397" t="s">
        <v>44</v>
      </c>
      <c r="E397">
        <v>45718</v>
      </c>
      <c r="F397" s="1">
        <v>45725</v>
      </c>
      <c r="G397">
        <v>9</v>
      </c>
      <c r="H397">
        <v>616</v>
      </c>
      <c r="I397" t="s">
        <v>28</v>
      </c>
      <c r="J397" t="s">
        <v>549</v>
      </c>
      <c r="K397" t="s">
        <v>46</v>
      </c>
    </row>
    <row r="398" spans="1:11" x14ac:dyDescent="0.35">
      <c r="A398">
        <v>396</v>
      </c>
      <c r="B398" t="s">
        <v>442</v>
      </c>
      <c r="C398" t="s">
        <v>17</v>
      </c>
      <c r="D398" t="s">
        <v>56</v>
      </c>
      <c r="E398">
        <v>45774</v>
      </c>
      <c r="F398" s="1">
        <v>45781</v>
      </c>
      <c r="G398">
        <v>1</v>
      </c>
      <c r="H398">
        <v>692</v>
      </c>
      <c r="I398" t="s">
        <v>28</v>
      </c>
      <c r="J398" t="s">
        <v>550</v>
      </c>
      <c r="K398" t="s">
        <v>19</v>
      </c>
    </row>
    <row r="399" spans="1:11" x14ac:dyDescent="0.35">
      <c r="A399">
        <v>397</v>
      </c>
      <c r="B399" t="s">
        <v>443</v>
      </c>
      <c r="C399" t="s">
        <v>17</v>
      </c>
      <c r="D399" t="s">
        <v>64</v>
      </c>
      <c r="E399">
        <v>45861</v>
      </c>
      <c r="F399" s="1">
        <v>45869</v>
      </c>
      <c r="G399">
        <v>6</v>
      </c>
      <c r="H399">
        <v>366</v>
      </c>
      <c r="I399" t="s">
        <v>14</v>
      </c>
      <c r="J399" t="s">
        <v>551</v>
      </c>
      <c r="K399" t="s">
        <v>46</v>
      </c>
    </row>
    <row r="400" spans="1:11" x14ac:dyDescent="0.35">
      <c r="A400">
        <v>398</v>
      </c>
      <c r="B400" t="s">
        <v>444</v>
      </c>
      <c r="C400" t="s">
        <v>17</v>
      </c>
      <c r="D400" t="s">
        <v>18</v>
      </c>
      <c r="E400">
        <v>45661</v>
      </c>
      <c r="F400" s="1">
        <v>45668</v>
      </c>
      <c r="G400">
        <v>2</v>
      </c>
      <c r="H400">
        <v>132</v>
      </c>
      <c r="I400" t="s">
        <v>28</v>
      </c>
      <c r="J400" t="s">
        <v>550</v>
      </c>
      <c r="K400" t="s">
        <v>29</v>
      </c>
    </row>
    <row r="401" spans="1:11" x14ac:dyDescent="0.35">
      <c r="A401">
        <v>399</v>
      </c>
      <c r="B401" t="s">
        <v>445</v>
      </c>
      <c r="C401" t="s">
        <v>12</v>
      </c>
      <c r="D401" t="s">
        <v>13</v>
      </c>
      <c r="E401">
        <v>45678</v>
      </c>
      <c r="F401" s="1">
        <v>45693</v>
      </c>
      <c r="G401">
        <v>1</v>
      </c>
      <c r="H401">
        <v>102</v>
      </c>
      <c r="I401" t="s">
        <v>28</v>
      </c>
      <c r="J401" t="s">
        <v>551</v>
      </c>
      <c r="K401" t="s">
        <v>19</v>
      </c>
    </row>
    <row r="402" spans="1:11" x14ac:dyDescent="0.35">
      <c r="A402">
        <v>400</v>
      </c>
      <c r="B402" t="s">
        <v>446</v>
      </c>
      <c r="C402" t="s">
        <v>21</v>
      </c>
      <c r="D402" t="s">
        <v>22</v>
      </c>
      <c r="E402">
        <v>45939</v>
      </c>
      <c r="F402" s="1">
        <v>45949</v>
      </c>
      <c r="G402">
        <v>5</v>
      </c>
      <c r="H402">
        <v>644</v>
      </c>
      <c r="I402" t="s">
        <v>14</v>
      </c>
      <c r="J402" t="s">
        <v>33</v>
      </c>
      <c r="K402" t="s">
        <v>29</v>
      </c>
    </row>
    <row r="403" spans="1:11" x14ac:dyDescent="0.35">
      <c r="A403">
        <v>401</v>
      </c>
      <c r="B403" t="s">
        <v>447</v>
      </c>
      <c r="C403" t="s">
        <v>31</v>
      </c>
      <c r="D403" t="s">
        <v>32</v>
      </c>
      <c r="E403">
        <v>45728</v>
      </c>
      <c r="F403" s="1">
        <v>45734</v>
      </c>
      <c r="G403">
        <v>7</v>
      </c>
      <c r="H403">
        <v>171</v>
      </c>
      <c r="I403" t="s">
        <v>28</v>
      </c>
      <c r="J403" t="s">
        <v>549</v>
      </c>
      <c r="K403" t="s">
        <v>15</v>
      </c>
    </row>
    <row r="404" spans="1:11" x14ac:dyDescent="0.35">
      <c r="A404">
        <v>402</v>
      </c>
      <c r="B404" t="s">
        <v>448</v>
      </c>
      <c r="C404" t="s">
        <v>21</v>
      </c>
      <c r="D404" t="s">
        <v>83</v>
      </c>
      <c r="E404">
        <v>45901</v>
      </c>
      <c r="F404" s="1">
        <v>45903</v>
      </c>
      <c r="G404">
        <v>8</v>
      </c>
      <c r="H404">
        <v>204</v>
      </c>
      <c r="I404" t="s">
        <v>28</v>
      </c>
      <c r="J404" t="s">
        <v>33</v>
      </c>
      <c r="K404" t="s">
        <v>15</v>
      </c>
    </row>
    <row r="405" spans="1:11" x14ac:dyDescent="0.35">
      <c r="A405">
        <v>403</v>
      </c>
      <c r="B405" t="s">
        <v>449</v>
      </c>
      <c r="C405" t="s">
        <v>24</v>
      </c>
      <c r="D405" t="s">
        <v>70</v>
      </c>
      <c r="E405">
        <v>45975</v>
      </c>
      <c r="F405" s="1">
        <v>45985</v>
      </c>
      <c r="G405">
        <v>1</v>
      </c>
      <c r="H405">
        <v>410</v>
      </c>
      <c r="I405" t="s">
        <v>28</v>
      </c>
      <c r="J405" t="s">
        <v>549</v>
      </c>
      <c r="K405" t="s">
        <v>19</v>
      </c>
    </row>
    <row r="406" spans="1:11" x14ac:dyDescent="0.35">
      <c r="A406">
        <v>404</v>
      </c>
      <c r="B406" t="s">
        <v>450</v>
      </c>
      <c r="C406" t="s">
        <v>24</v>
      </c>
      <c r="D406" t="s">
        <v>38</v>
      </c>
      <c r="E406">
        <v>45782</v>
      </c>
      <c r="F406" s="1">
        <v>45785</v>
      </c>
      <c r="G406">
        <v>2</v>
      </c>
      <c r="H406">
        <v>874</v>
      </c>
      <c r="I406" t="s">
        <v>14</v>
      </c>
      <c r="J406" t="s">
        <v>551</v>
      </c>
      <c r="K406" t="s">
        <v>29</v>
      </c>
    </row>
    <row r="407" spans="1:11" x14ac:dyDescent="0.35">
      <c r="A407">
        <v>405</v>
      </c>
      <c r="B407" t="s">
        <v>451</v>
      </c>
      <c r="C407" t="s">
        <v>17</v>
      </c>
      <c r="D407" t="s">
        <v>64</v>
      </c>
      <c r="E407">
        <v>45707</v>
      </c>
      <c r="F407" s="1">
        <v>45711</v>
      </c>
      <c r="G407">
        <v>7</v>
      </c>
      <c r="H407">
        <v>855</v>
      </c>
      <c r="I407" t="s">
        <v>28</v>
      </c>
      <c r="J407" t="s">
        <v>550</v>
      </c>
      <c r="K407" t="s">
        <v>15</v>
      </c>
    </row>
    <row r="408" spans="1:11" x14ac:dyDescent="0.35">
      <c r="A408">
        <v>406</v>
      </c>
      <c r="B408" t="s">
        <v>452</v>
      </c>
      <c r="C408" t="s">
        <v>31</v>
      </c>
      <c r="D408" t="s">
        <v>50</v>
      </c>
      <c r="E408">
        <v>45753</v>
      </c>
      <c r="F408" s="1">
        <v>45760</v>
      </c>
      <c r="G408">
        <v>1</v>
      </c>
      <c r="H408">
        <v>386</v>
      </c>
      <c r="I408" t="s">
        <v>14</v>
      </c>
      <c r="J408" t="s">
        <v>551</v>
      </c>
      <c r="K408" t="s">
        <v>19</v>
      </c>
    </row>
    <row r="409" spans="1:11" x14ac:dyDescent="0.35">
      <c r="A409">
        <v>407</v>
      </c>
      <c r="B409" t="s">
        <v>453</v>
      </c>
      <c r="C409" t="s">
        <v>17</v>
      </c>
      <c r="D409" t="s">
        <v>56</v>
      </c>
      <c r="E409">
        <v>45732</v>
      </c>
      <c r="F409" s="1">
        <v>45743</v>
      </c>
      <c r="G409">
        <v>9</v>
      </c>
      <c r="H409">
        <v>309</v>
      </c>
      <c r="I409" t="s">
        <v>28</v>
      </c>
      <c r="J409" t="s">
        <v>547</v>
      </c>
      <c r="K409" t="s">
        <v>46</v>
      </c>
    </row>
    <row r="410" spans="1:11" x14ac:dyDescent="0.35">
      <c r="A410">
        <v>408</v>
      </c>
      <c r="B410" t="s">
        <v>454</v>
      </c>
      <c r="C410" t="s">
        <v>31</v>
      </c>
      <c r="D410" t="s">
        <v>32</v>
      </c>
      <c r="E410">
        <v>45709</v>
      </c>
      <c r="F410" s="1">
        <v>45719</v>
      </c>
      <c r="G410">
        <v>3</v>
      </c>
      <c r="H410">
        <v>97</v>
      </c>
      <c r="I410" t="s">
        <v>14</v>
      </c>
      <c r="J410" t="s">
        <v>550</v>
      </c>
      <c r="K410" t="s">
        <v>15</v>
      </c>
    </row>
    <row r="411" spans="1:11" x14ac:dyDescent="0.35">
      <c r="A411">
        <v>409</v>
      </c>
      <c r="B411" t="s">
        <v>455</v>
      </c>
      <c r="C411" t="s">
        <v>17</v>
      </c>
      <c r="D411" t="s">
        <v>56</v>
      </c>
      <c r="E411">
        <v>45970</v>
      </c>
      <c r="F411" s="1">
        <v>45981</v>
      </c>
      <c r="G411">
        <v>4</v>
      </c>
      <c r="H411">
        <v>180</v>
      </c>
      <c r="I411" t="s">
        <v>28</v>
      </c>
      <c r="J411" t="s">
        <v>549</v>
      </c>
      <c r="K411" t="s">
        <v>46</v>
      </c>
    </row>
    <row r="412" spans="1:11" x14ac:dyDescent="0.35">
      <c r="A412">
        <v>410</v>
      </c>
      <c r="B412" t="s">
        <v>456</v>
      </c>
      <c r="C412" t="s">
        <v>21</v>
      </c>
      <c r="D412" t="s">
        <v>22</v>
      </c>
      <c r="E412">
        <v>45836</v>
      </c>
      <c r="F412" s="1">
        <v>45842</v>
      </c>
      <c r="G412">
        <v>1</v>
      </c>
      <c r="H412">
        <v>187</v>
      </c>
      <c r="I412" t="s">
        <v>28</v>
      </c>
      <c r="J412" t="s">
        <v>551</v>
      </c>
      <c r="K412" t="s">
        <v>19</v>
      </c>
    </row>
    <row r="413" spans="1:11" x14ac:dyDescent="0.35">
      <c r="A413">
        <v>411</v>
      </c>
      <c r="B413" t="s">
        <v>457</v>
      </c>
      <c r="C413" t="s">
        <v>31</v>
      </c>
      <c r="D413" t="s">
        <v>76</v>
      </c>
      <c r="E413">
        <v>45926</v>
      </c>
      <c r="F413" s="1">
        <v>45934</v>
      </c>
      <c r="G413">
        <v>9</v>
      </c>
      <c r="H413">
        <v>286</v>
      </c>
      <c r="I413" t="s">
        <v>28</v>
      </c>
      <c r="J413" t="s">
        <v>33</v>
      </c>
      <c r="K413" t="s">
        <v>46</v>
      </c>
    </row>
    <row r="414" spans="1:11" x14ac:dyDescent="0.35">
      <c r="A414">
        <v>412</v>
      </c>
      <c r="B414" t="s">
        <v>458</v>
      </c>
      <c r="C414" t="s">
        <v>31</v>
      </c>
      <c r="D414" t="s">
        <v>32</v>
      </c>
      <c r="E414">
        <v>45675</v>
      </c>
      <c r="F414" s="1">
        <v>45688</v>
      </c>
      <c r="G414">
        <v>6</v>
      </c>
      <c r="H414">
        <v>541</v>
      </c>
      <c r="I414" t="s">
        <v>28</v>
      </c>
      <c r="J414" t="s">
        <v>551</v>
      </c>
      <c r="K414" t="s">
        <v>15</v>
      </c>
    </row>
    <row r="415" spans="1:11" x14ac:dyDescent="0.35">
      <c r="A415">
        <v>413</v>
      </c>
      <c r="B415" t="s">
        <v>459</v>
      </c>
      <c r="C415" t="s">
        <v>17</v>
      </c>
      <c r="D415" t="s">
        <v>44</v>
      </c>
      <c r="E415">
        <v>45850</v>
      </c>
      <c r="F415" s="1">
        <v>45858</v>
      </c>
      <c r="G415">
        <v>8</v>
      </c>
      <c r="H415">
        <v>779</v>
      </c>
      <c r="I415" t="s">
        <v>14</v>
      </c>
      <c r="J415" t="s">
        <v>550</v>
      </c>
      <c r="K415" t="s">
        <v>29</v>
      </c>
    </row>
    <row r="416" spans="1:11" x14ac:dyDescent="0.35">
      <c r="A416">
        <v>414</v>
      </c>
      <c r="B416" t="s">
        <v>460</v>
      </c>
      <c r="C416" t="s">
        <v>12</v>
      </c>
      <c r="D416" t="s">
        <v>58</v>
      </c>
      <c r="E416">
        <v>45909</v>
      </c>
      <c r="F416" s="1">
        <v>45911</v>
      </c>
      <c r="G416">
        <v>4</v>
      </c>
      <c r="H416">
        <v>249</v>
      </c>
      <c r="I416" t="s">
        <v>28</v>
      </c>
      <c r="J416" t="s">
        <v>551</v>
      </c>
      <c r="K416" t="s">
        <v>15</v>
      </c>
    </row>
    <row r="417" spans="1:11" x14ac:dyDescent="0.35">
      <c r="A417">
        <v>415</v>
      </c>
      <c r="B417" t="s">
        <v>461</v>
      </c>
      <c r="C417" t="s">
        <v>12</v>
      </c>
      <c r="D417" t="s">
        <v>27</v>
      </c>
      <c r="E417">
        <v>45854</v>
      </c>
      <c r="F417" s="1">
        <v>45867</v>
      </c>
      <c r="G417">
        <v>2</v>
      </c>
      <c r="H417">
        <v>146</v>
      </c>
      <c r="I417" t="s">
        <v>28</v>
      </c>
      <c r="J417" t="s">
        <v>547</v>
      </c>
      <c r="K417" t="s">
        <v>46</v>
      </c>
    </row>
    <row r="418" spans="1:11" x14ac:dyDescent="0.35">
      <c r="A418">
        <v>416</v>
      </c>
      <c r="B418" t="s">
        <v>462</v>
      </c>
      <c r="C418" t="s">
        <v>24</v>
      </c>
      <c r="D418" t="s">
        <v>25</v>
      </c>
      <c r="E418">
        <v>45665</v>
      </c>
      <c r="F418" s="1">
        <v>45678</v>
      </c>
      <c r="G418">
        <v>1</v>
      </c>
      <c r="H418">
        <v>333</v>
      </c>
      <c r="I418" t="s">
        <v>28</v>
      </c>
      <c r="J418" t="s">
        <v>33</v>
      </c>
      <c r="K418" t="s">
        <v>15</v>
      </c>
    </row>
    <row r="419" spans="1:11" x14ac:dyDescent="0.35">
      <c r="A419">
        <v>417</v>
      </c>
      <c r="B419" t="s">
        <v>463</v>
      </c>
      <c r="C419" t="s">
        <v>24</v>
      </c>
      <c r="D419" t="s">
        <v>38</v>
      </c>
      <c r="E419">
        <v>45897</v>
      </c>
      <c r="F419" s="1">
        <v>45904</v>
      </c>
      <c r="G419">
        <v>9</v>
      </c>
      <c r="H419">
        <v>687</v>
      </c>
      <c r="I419" t="s">
        <v>28</v>
      </c>
      <c r="J419" t="s">
        <v>547</v>
      </c>
      <c r="K419" t="s">
        <v>29</v>
      </c>
    </row>
    <row r="420" spans="1:11" x14ac:dyDescent="0.35">
      <c r="A420">
        <v>418</v>
      </c>
      <c r="B420" t="s">
        <v>464</v>
      </c>
      <c r="C420" t="s">
        <v>21</v>
      </c>
      <c r="D420" t="s">
        <v>83</v>
      </c>
      <c r="E420">
        <v>45847</v>
      </c>
      <c r="F420" s="1">
        <v>45857</v>
      </c>
      <c r="G420">
        <v>6</v>
      </c>
      <c r="H420">
        <v>342</v>
      </c>
      <c r="I420" t="s">
        <v>14</v>
      </c>
      <c r="J420" t="s">
        <v>33</v>
      </c>
      <c r="K420" t="s">
        <v>29</v>
      </c>
    </row>
    <row r="421" spans="1:11" x14ac:dyDescent="0.35">
      <c r="A421">
        <v>419</v>
      </c>
      <c r="B421" t="s">
        <v>465</v>
      </c>
      <c r="C421" t="s">
        <v>31</v>
      </c>
      <c r="D421" t="s">
        <v>76</v>
      </c>
      <c r="E421">
        <v>45972</v>
      </c>
      <c r="F421" s="1">
        <v>45977</v>
      </c>
      <c r="G421">
        <v>6</v>
      </c>
      <c r="H421">
        <v>461</v>
      </c>
      <c r="I421" t="s">
        <v>14</v>
      </c>
      <c r="J421" t="s">
        <v>550</v>
      </c>
      <c r="K421" t="s">
        <v>15</v>
      </c>
    </row>
    <row r="422" spans="1:11" x14ac:dyDescent="0.35">
      <c r="A422">
        <v>420</v>
      </c>
      <c r="B422" t="s">
        <v>466</v>
      </c>
      <c r="C422" t="s">
        <v>31</v>
      </c>
      <c r="D422" t="s">
        <v>50</v>
      </c>
      <c r="E422">
        <v>45707</v>
      </c>
      <c r="F422" s="1">
        <v>45717</v>
      </c>
      <c r="G422">
        <v>4</v>
      </c>
      <c r="H422">
        <v>371</v>
      </c>
      <c r="I422" t="s">
        <v>28</v>
      </c>
      <c r="J422" t="s">
        <v>549</v>
      </c>
      <c r="K422" t="s">
        <v>46</v>
      </c>
    </row>
    <row r="423" spans="1:11" x14ac:dyDescent="0.35">
      <c r="A423">
        <v>421</v>
      </c>
      <c r="B423" t="s">
        <v>467</v>
      </c>
      <c r="C423" t="s">
        <v>17</v>
      </c>
      <c r="D423" t="s">
        <v>56</v>
      </c>
      <c r="E423">
        <v>45698</v>
      </c>
      <c r="F423" s="1">
        <v>45707</v>
      </c>
      <c r="G423">
        <v>1</v>
      </c>
      <c r="H423">
        <v>200</v>
      </c>
      <c r="I423" t="s">
        <v>28</v>
      </c>
      <c r="J423" t="s">
        <v>549</v>
      </c>
      <c r="K423" t="s">
        <v>19</v>
      </c>
    </row>
    <row r="424" spans="1:11" x14ac:dyDescent="0.35">
      <c r="A424">
        <v>422</v>
      </c>
      <c r="B424" t="s">
        <v>468</v>
      </c>
      <c r="C424" t="s">
        <v>12</v>
      </c>
      <c r="D424" t="s">
        <v>13</v>
      </c>
      <c r="E424">
        <v>45694</v>
      </c>
      <c r="F424" s="1">
        <v>45703</v>
      </c>
      <c r="G424">
        <v>3</v>
      </c>
      <c r="H424">
        <v>356</v>
      </c>
      <c r="I424" t="s">
        <v>14</v>
      </c>
      <c r="J424" t="s">
        <v>549</v>
      </c>
      <c r="K424" t="s">
        <v>46</v>
      </c>
    </row>
    <row r="425" spans="1:11" x14ac:dyDescent="0.35">
      <c r="A425">
        <v>423</v>
      </c>
      <c r="B425" t="s">
        <v>469</v>
      </c>
      <c r="C425" t="s">
        <v>17</v>
      </c>
      <c r="D425" t="s">
        <v>18</v>
      </c>
      <c r="E425">
        <v>45720</v>
      </c>
      <c r="F425" s="1">
        <v>45721</v>
      </c>
      <c r="G425">
        <v>4</v>
      </c>
      <c r="H425">
        <v>587</v>
      </c>
      <c r="I425" t="s">
        <v>14</v>
      </c>
      <c r="J425" t="s">
        <v>547</v>
      </c>
      <c r="K425" t="s">
        <v>46</v>
      </c>
    </row>
    <row r="426" spans="1:11" x14ac:dyDescent="0.35">
      <c r="A426">
        <v>424</v>
      </c>
      <c r="B426" t="s">
        <v>470</v>
      </c>
      <c r="C426" t="s">
        <v>17</v>
      </c>
      <c r="D426" t="s">
        <v>18</v>
      </c>
      <c r="E426">
        <v>45835</v>
      </c>
      <c r="F426" s="1">
        <v>45843</v>
      </c>
      <c r="G426">
        <v>4</v>
      </c>
      <c r="H426">
        <v>441</v>
      </c>
      <c r="I426" t="s">
        <v>14</v>
      </c>
      <c r="J426" t="s">
        <v>33</v>
      </c>
      <c r="K426" t="s">
        <v>15</v>
      </c>
    </row>
    <row r="427" spans="1:11" x14ac:dyDescent="0.35">
      <c r="A427">
        <v>425</v>
      </c>
      <c r="B427" t="s">
        <v>471</v>
      </c>
      <c r="C427" t="s">
        <v>17</v>
      </c>
      <c r="D427" t="s">
        <v>64</v>
      </c>
      <c r="E427">
        <v>46013</v>
      </c>
      <c r="F427" s="1">
        <v>46022</v>
      </c>
      <c r="G427">
        <v>8</v>
      </c>
      <c r="H427">
        <v>953</v>
      </c>
      <c r="I427" t="s">
        <v>14</v>
      </c>
      <c r="J427" t="s">
        <v>549</v>
      </c>
      <c r="K427" t="s">
        <v>29</v>
      </c>
    </row>
    <row r="428" spans="1:11" x14ac:dyDescent="0.35">
      <c r="A428">
        <v>426</v>
      </c>
      <c r="B428" t="s">
        <v>472</v>
      </c>
      <c r="C428" t="s">
        <v>31</v>
      </c>
      <c r="D428" t="s">
        <v>32</v>
      </c>
      <c r="E428">
        <v>45693</v>
      </c>
      <c r="F428" s="1">
        <v>45702</v>
      </c>
      <c r="G428">
        <v>10</v>
      </c>
      <c r="H428">
        <v>356</v>
      </c>
      <c r="I428" t="s">
        <v>14</v>
      </c>
      <c r="J428" t="s">
        <v>547</v>
      </c>
      <c r="K428" t="s">
        <v>46</v>
      </c>
    </row>
    <row r="429" spans="1:11" x14ac:dyDescent="0.35">
      <c r="A429">
        <v>427</v>
      </c>
      <c r="B429" t="s">
        <v>473</v>
      </c>
      <c r="C429" t="s">
        <v>21</v>
      </c>
      <c r="D429" t="s">
        <v>22</v>
      </c>
      <c r="E429">
        <v>45862</v>
      </c>
      <c r="F429" s="1">
        <v>45865</v>
      </c>
      <c r="G429">
        <v>9</v>
      </c>
      <c r="H429">
        <v>855</v>
      </c>
      <c r="I429" t="s">
        <v>28</v>
      </c>
      <c r="J429" t="s">
        <v>33</v>
      </c>
      <c r="K429" t="s">
        <v>19</v>
      </c>
    </row>
    <row r="430" spans="1:11" x14ac:dyDescent="0.35">
      <c r="A430">
        <v>428</v>
      </c>
      <c r="B430" t="s">
        <v>474</v>
      </c>
      <c r="C430" t="s">
        <v>17</v>
      </c>
      <c r="D430" t="s">
        <v>64</v>
      </c>
      <c r="E430">
        <v>45773</v>
      </c>
      <c r="F430" s="1">
        <v>45787</v>
      </c>
      <c r="G430">
        <v>1</v>
      </c>
      <c r="H430">
        <v>320</v>
      </c>
      <c r="I430" t="s">
        <v>28</v>
      </c>
      <c r="J430" t="s">
        <v>551</v>
      </c>
      <c r="K430" t="s">
        <v>15</v>
      </c>
    </row>
    <row r="431" spans="1:11" x14ac:dyDescent="0.35">
      <c r="A431">
        <v>429</v>
      </c>
      <c r="B431" t="s">
        <v>475</v>
      </c>
      <c r="C431" t="s">
        <v>21</v>
      </c>
      <c r="D431" t="s">
        <v>83</v>
      </c>
      <c r="E431">
        <v>46011</v>
      </c>
      <c r="F431" s="1">
        <v>46021</v>
      </c>
      <c r="G431">
        <v>10</v>
      </c>
      <c r="H431">
        <v>308</v>
      </c>
      <c r="I431" t="s">
        <v>28</v>
      </c>
      <c r="J431" t="s">
        <v>551</v>
      </c>
      <c r="K431" t="s">
        <v>46</v>
      </c>
    </row>
    <row r="432" spans="1:11" x14ac:dyDescent="0.35">
      <c r="A432">
        <v>430</v>
      </c>
      <c r="B432" t="s">
        <v>476</v>
      </c>
      <c r="C432" t="s">
        <v>21</v>
      </c>
      <c r="D432" t="s">
        <v>22</v>
      </c>
      <c r="E432">
        <v>46007</v>
      </c>
      <c r="F432" s="1">
        <v>46020</v>
      </c>
      <c r="G432">
        <v>8</v>
      </c>
      <c r="H432">
        <v>259</v>
      </c>
      <c r="I432" t="s">
        <v>28</v>
      </c>
      <c r="J432" t="s">
        <v>549</v>
      </c>
      <c r="K432" t="s">
        <v>29</v>
      </c>
    </row>
    <row r="433" spans="1:11" x14ac:dyDescent="0.35">
      <c r="A433">
        <v>431</v>
      </c>
      <c r="B433" t="s">
        <v>477</v>
      </c>
      <c r="C433" t="s">
        <v>21</v>
      </c>
      <c r="D433" t="s">
        <v>22</v>
      </c>
      <c r="E433">
        <v>45684</v>
      </c>
      <c r="F433" s="1">
        <v>45686</v>
      </c>
      <c r="G433">
        <v>8</v>
      </c>
      <c r="H433">
        <v>684</v>
      </c>
      <c r="I433" t="s">
        <v>14</v>
      </c>
      <c r="J433" t="s">
        <v>549</v>
      </c>
      <c r="K433" t="s">
        <v>29</v>
      </c>
    </row>
    <row r="434" spans="1:11" x14ac:dyDescent="0.35">
      <c r="A434">
        <v>432</v>
      </c>
      <c r="B434" t="s">
        <v>478</v>
      </c>
      <c r="C434" t="s">
        <v>21</v>
      </c>
      <c r="D434" t="s">
        <v>83</v>
      </c>
      <c r="E434">
        <v>45925</v>
      </c>
      <c r="F434" s="1">
        <v>45930</v>
      </c>
      <c r="G434">
        <v>6</v>
      </c>
      <c r="H434">
        <v>993</v>
      </c>
      <c r="I434" t="s">
        <v>28</v>
      </c>
      <c r="J434" t="s">
        <v>547</v>
      </c>
      <c r="K434" t="s">
        <v>15</v>
      </c>
    </row>
    <row r="435" spans="1:11" x14ac:dyDescent="0.35">
      <c r="A435">
        <v>433</v>
      </c>
      <c r="B435" t="s">
        <v>479</v>
      </c>
      <c r="C435" t="s">
        <v>31</v>
      </c>
      <c r="D435" t="s">
        <v>42</v>
      </c>
      <c r="E435">
        <v>45798</v>
      </c>
      <c r="F435" s="1">
        <v>45804</v>
      </c>
      <c r="G435">
        <v>1</v>
      </c>
      <c r="H435">
        <v>773</v>
      </c>
      <c r="I435" t="s">
        <v>28</v>
      </c>
      <c r="J435" t="s">
        <v>33</v>
      </c>
      <c r="K435" t="s">
        <v>15</v>
      </c>
    </row>
    <row r="436" spans="1:11" x14ac:dyDescent="0.35">
      <c r="A436">
        <v>434</v>
      </c>
      <c r="B436" t="s">
        <v>480</v>
      </c>
      <c r="C436" t="s">
        <v>12</v>
      </c>
      <c r="D436" t="s">
        <v>58</v>
      </c>
      <c r="E436">
        <v>45663</v>
      </c>
      <c r="F436" s="1">
        <v>45669</v>
      </c>
      <c r="G436">
        <v>8</v>
      </c>
      <c r="H436">
        <v>527</v>
      </c>
      <c r="I436" t="s">
        <v>28</v>
      </c>
      <c r="J436" t="s">
        <v>551</v>
      </c>
      <c r="K436" t="s">
        <v>46</v>
      </c>
    </row>
    <row r="437" spans="1:11" x14ac:dyDescent="0.35">
      <c r="A437">
        <v>435</v>
      </c>
      <c r="B437" t="s">
        <v>481</v>
      </c>
      <c r="C437" t="s">
        <v>21</v>
      </c>
      <c r="D437" t="s">
        <v>83</v>
      </c>
      <c r="E437">
        <v>45992</v>
      </c>
      <c r="F437" s="1">
        <v>46002</v>
      </c>
      <c r="G437">
        <v>10</v>
      </c>
      <c r="H437">
        <v>752</v>
      </c>
      <c r="I437" t="s">
        <v>14</v>
      </c>
      <c r="J437" t="s">
        <v>551</v>
      </c>
      <c r="K437" t="s">
        <v>15</v>
      </c>
    </row>
    <row r="438" spans="1:11" x14ac:dyDescent="0.35">
      <c r="A438">
        <v>436</v>
      </c>
      <c r="B438" t="s">
        <v>482</v>
      </c>
      <c r="C438" t="s">
        <v>24</v>
      </c>
      <c r="D438" t="s">
        <v>38</v>
      </c>
      <c r="E438">
        <v>45988</v>
      </c>
      <c r="F438" s="1">
        <v>45995</v>
      </c>
      <c r="G438">
        <v>1</v>
      </c>
      <c r="H438">
        <v>821</v>
      </c>
      <c r="I438" t="s">
        <v>14</v>
      </c>
      <c r="J438" t="s">
        <v>549</v>
      </c>
      <c r="K438" t="s">
        <v>15</v>
      </c>
    </row>
    <row r="439" spans="1:11" x14ac:dyDescent="0.35">
      <c r="A439">
        <v>437</v>
      </c>
      <c r="B439" t="s">
        <v>483</v>
      </c>
      <c r="C439" t="s">
        <v>21</v>
      </c>
      <c r="D439" t="s">
        <v>54</v>
      </c>
      <c r="E439">
        <v>45928</v>
      </c>
      <c r="F439" s="1">
        <v>45934</v>
      </c>
      <c r="G439">
        <v>9</v>
      </c>
      <c r="H439">
        <v>733</v>
      </c>
      <c r="I439" t="s">
        <v>28</v>
      </c>
      <c r="J439" t="s">
        <v>550</v>
      </c>
      <c r="K439" t="s">
        <v>29</v>
      </c>
    </row>
    <row r="440" spans="1:11" x14ac:dyDescent="0.35">
      <c r="A440">
        <v>438</v>
      </c>
      <c r="B440" t="s">
        <v>484</v>
      </c>
      <c r="C440" t="s">
        <v>24</v>
      </c>
      <c r="D440" t="s">
        <v>70</v>
      </c>
      <c r="E440">
        <v>45707</v>
      </c>
      <c r="F440" s="1">
        <v>45713</v>
      </c>
      <c r="G440">
        <v>7</v>
      </c>
      <c r="H440">
        <v>471</v>
      </c>
      <c r="I440" t="s">
        <v>28</v>
      </c>
      <c r="J440" t="s">
        <v>551</v>
      </c>
      <c r="K440" t="s">
        <v>46</v>
      </c>
    </row>
    <row r="441" spans="1:11" x14ac:dyDescent="0.35">
      <c r="A441">
        <v>439</v>
      </c>
      <c r="B441" t="s">
        <v>485</v>
      </c>
      <c r="C441" t="s">
        <v>31</v>
      </c>
      <c r="D441" t="s">
        <v>42</v>
      </c>
      <c r="E441">
        <v>45738</v>
      </c>
      <c r="F441" s="1">
        <v>45745</v>
      </c>
      <c r="G441">
        <v>2</v>
      </c>
      <c r="H441">
        <v>566</v>
      </c>
      <c r="I441" t="s">
        <v>28</v>
      </c>
      <c r="J441" t="s">
        <v>550</v>
      </c>
      <c r="K441" t="s">
        <v>19</v>
      </c>
    </row>
    <row r="442" spans="1:11" x14ac:dyDescent="0.35">
      <c r="A442">
        <v>440</v>
      </c>
      <c r="B442" t="s">
        <v>486</v>
      </c>
      <c r="C442" t="s">
        <v>21</v>
      </c>
      <c r="D442" t="s">
        <v>22</v>
      </c>
      <c r="E442">
        <v>45839</v>
      </c>
      <c r="F442" s="1">
        <v>45846</v>
      </c>
      <c r="G442">
        <v>1</v>
      </c>
      <c r="H442">
        <v>284</v>
      </c>
      <c r="I442" t="s">
        <v>14</v>
      </c>
      <c r="J442" t="s">
        <v>550</v>
      </c>
      <c r="K442" t="s">
        <v>46</v>
      </c>
    </row>
    <row r="443" spans="1:11" x14ac:dyDescent="0.35">
      <c r="A443">
        <v>441</v>
      </c>
      <c r="B443" t="s">
        <v>487</v>
      </c>
      <c r="C443" t="s">
        <v>12</v>
      </c>
      <c r="D443" t="s">
        <v>13</v>
      </c>
      <c r="E443">
        <v>45886</v>
      </c>
      <c r="F443" s="1">
        <v>45887</v>
      </c>
      <c r="G443">
        <v>8</v>
      </c>
      <c r="H443">
        <v>48</v>
      </c>
      <c r="I443" t="s">
        <v>14</v>
      </c>
      <c r="J443" t="s">
        <v>33</v>
      </c>
      <c r="K443" t="s">
        <v>46</v>
      </c>
    </row>
    <row r="444" spans="1:11" x14ac:dyDescent="0.35">
      <c r="A444">
        <v>442</v>
      </c>
      <c r="B444" t="s">
        <v>488</v>
      </c>
      <c r="C444" t="s">
        <v>21</v>
      </c>
      <c r="D444" t="s">
        <v>22</v>
      </c>
      <c r="E444">
        <v>45874</v>
      </c>
      <c r="F444" s="1">
        <v>45880</v>
      </c>
      <c r="G444">
        <v>3</v>
      </c>
      <c r="H444">
        <v>262</v>
      </c>
      <c r="I444" t="s">
        <v>28</v>
      </c>
      <c r="J444" t="s">
        <v>33</v>
      </c>
      <c r="K444" t="s">
        <v>29</v>
      </c>
    </row>
    <row r="445" spans="1:11" x14ac:dyDescent="0.35">
      <c r="A445">
        <v>443</v>
      </c>
      <c r="B445" t="s">
        <v>489</v>
      </c>
      <c r="C445" t="s">
        <v>21</v>
      </c>
      <c r="D445" t="s">
        <v>40</v>
      </c>
      <c r="E445">
        <v>45716</v>
      </c>
      <c r="F445" s="1">
        <v>45726</v>
      </c>
      <c r="G445">
        <v>8</v>
      </c>
      <c r="H445">
        <v>733</v>
      </c>
      <c r="I445" t="s">
        <v>14</v>
      </c>
      <c r="J445" t="s">
        <v>551</v>
      </c>
      <c r="K445" t="s">
        <v>46</v>
      </c>
    </row>
    <row r="446" spans="1:11" x14ac:dyDescent="0.35">
      <c r="A446">
        <v>444</v>
      </c>
      <c r="B446" t="s">
        <v>490</v>
      </c>
      <c r="C446" t="s">
        <v>21</v>
      </c>
      <c r="D446" t="s">
        <v>22</v>
      </c>
      <c r="E446">
        <v>45758</v>
      </c>
      <c r="F446" s="1">
        <v>45761</v>
      </c>
      <c r="G446">
        <v>8</v>
      </c>
      <c r="H446">
        <v>258</v>
      </c>
      <c r="I446" t="s">
        <v>14</v>
      </c>
      <c r="J446" t="s">
        <v>547</v>
      </c>
      <c r="K446" t="s">
        <v>15</v>
      </c>
    </row>
    <row r="447" spans="1:11" x14ac:dyDescent="0.35">
      <c r="A447">
        <v>445</v>
      </c>
      <c r="B447" t="s">
        <v>491</v>
      </c>
      <c r="C447" t="s">
        <v>21</v>
      </c>
      <c r="D447" t="s">
        <v>22</v>
      </c>
      <c r="E447">
        <v>45742</v>
      </c>
      <c r="F447" s="1">
        <v>45748</v>
      </c>
      <c r="G447">
        <v>10</v>
      </c>
      <c r="H447">
        <v>405</v>
      </c>
      <c r="I447" t="s">
        <v>14</v>
      </c>
      <c r="J447" t="s">
        <v>33</v>
      </c>
      <c r="K447" t="s">
        <v>46</v>
      </c>
    </row>
    <row r="448" spans="1:11" x14ac:dyDescent="0.35">
      <c r="A448">
        <v>446</v>
      </c>
      <c r="B448" t="s">
        <v>492</v>
      </c>
      <c r="C448" t="s">
        <v>21</v>
      </c>
      <c r="D448" t="s">
        <v>83</v>
      </c>
      <c r="E448">
        <v>45924</v>
      </c>
      <c r="F448" s="1">
        <v>45925</v>
      </c>
      <c r="G448">
        <v>6</v>
      </c>
      <c r="H448">
        <v>252</v>
      </c>
      <c r="I448" t="s">
        <v>14</v>
      </c>
      <c r="J448" t="s">
        <v>551</v>
      </c>
      <c r="K448" t="s">
        <v>15</v>
      </c>
    </row>
    <row r="449" spans="1:11" x14ac:dyDescent="0.35">
      <c r="A449">
        <v>447</v>
      </c>
      <c r="B449" t="s">
        <v>493</v>
      </c>
      <c r="C449" t="s">
        <v>31</v>
      </c>
      <c r="D449" t="s">
        <v>42</v>
      </c>
      <c r="E449">
        <v>45965</v>
      </c>
      <c r="F449" s="1">
        <v>45971</v>
      </c>
      <c r="G449">
        <v>10</v>
      </c>
      <c r="H449">
        <v>85</v>
      </c>
      <c r="I449" t="s">
        <v>14</v>
      </c>
      <c r="J449" t="s">
        <v>547</v>
      </c>
      <c r="K449" t="s">
        <v>29</v>
      </c>
    </row>
    <row r="450" spans="1:11" x14ac:dyDescent="0.35">
      <c r="A450">
        <v>448</v>
      </c>
      <c r="B450" t="s">
        <v>494</v>
      </c>
      <c r="C450" t="s">
        <v>31</v>
      </c>
      <c r="D450" t="s">
        <v>42</v>
      </c>
      <c r="E450">
        <v>45768</v>
      </c>
      <c r="F450" s="1">
        <v>45772</v>
      </c>
      <c r="G450">
        <v>9</v>
      </c>
      <c r="H450">
        <v>67</v>
      </c>
      <c r="I450" t="s">
        <v>14</v>
      </c>
      <c r="J450" t="s">
        <v>551</v>
      </c>
      <c r="K450" t="s">
        <v>15</v>
      </c>
    </row>
    <row r="451" spans="1:11" x14ac:dyDescent="0.35">
      <c r="A451">
        <v>449</v>
      </c>
      <c r="B451" t="s">
        <v>495</v>
      </c>
      <c r="C451" t="s">
        <v>21</v>
      </c>
      <c r="D451" t="s">
        <v>54</v>
      </c>
      <c r="E451">
        <v>45812</v>
      </c>
      <c r="F451" s="1">
        <v>45818</v>
      </c>
      <c r="G451">
        <v>3</v>
      </c>
      <c r="H451">
        <v>723</v>
      </c>
      <c r="I451" t="s">
        <v>14</v>
      </c>
      <c r="J451" t="s">
        <v>551</v>
      </c>
      <c r="K451" t="s">
        <v>46</v>
      </c>
    </row>
    <row r="452" spans="1:11" x14ac:dyDescent="0.35">
      <c r="A452">
        <v>450</v>
      </c>
      <c r="B452" t="s">
        <v>496</v>
      </c>
      <c r="C452" t="s">
        <v>31</v>
      </c>
      <c r="D452" t="s">
        <v>32</v>
      </c>
      <c r="E452">
        <v>45762</v>
      </c>
      <c r="F452" s="1">
        <v>45766</v>
      </c>
      <c r="G452">
        <v>2</v>
      </c>
      <c r="H452">
        <v>919</v>
      </c>
      <c r="I452" t="s">
        <v>14</v>
      </c>
      <c r="J452" t="s">
        <v>551</v>
      </c>
      <c r="K452" t="s">
        <v>19</v>
      </c>
    </row>
    <row r="453" spans="1:11" x14ac:dyDescent="0.35">
      <c r="A453">
        <v>451</v>
      </c>
      <c r="B453" t="s">
        <v>497</v>
      </c>
      <c r="C453" t="s">
        <v>12</v>
      </c>
      <c r="D453" t="s">
        <v>58</v>
      </c>
      <c r="E453">
        <v>45871</v>
      </c>
      <c r="F453" s="1">
        <v>45877</v>
      </c>
      <c r="G453">
        <v>2</v>
      </c>
      <c r="H453">
        <v>315</v>
      </c>
      <c r="I453" t="s">
        <v>14</v>
      </c>
      <c r="J453" t="s">
        <v>33</v>
      </c>
      <c r="K453" t="s">
        <v>46</v>
      </c>
    </row>
    <row r="454" spans="1:11" x14ac:dyDescent="0.35">
      <c r="A454">
        <v>452</v>
      </c>
      <c r="B454" t="s">
        <v>498</v>
      </c>
      <c r="C454" t="s">
        <v>12</v>
      </c>
      <c r="D454" t="s">
        <v>36</v>
      </c>
      <c r="E454">
        <v>45739</v>
      </c>
      <c r="F454" s="1">
        <v>45745</v>
      </c>
      <c r="G454">
        <v>3</v>
      </c>
      <c r="H454">
        <v>561</v>
      </c>
      <c r="I454" t="s">
        <v>14</v>
      </c>
      <c r="J454" t="s">
        <v>33</v>
      </c>
      <c r="K454" t="s">
        <v>29</v>
      </c>
    </row>
    <row r="455" spans="1:11" x14ac:dyDescent="0.35">
      <c r="A455">
        <v>453</v>
      </c>
      <c r="B455" t="s">
        <v>499</v>
      </c>
      <c r="C455" t="s">
        <v>12</v>
      </c>
      <c r="D455" t="s">
        <v>13</v>
      </c>
      <c r="E455">
        <v>45834</v>
      </c>
      <c r="F455" s="1">
        <v>45838</v>
      </c>
      <c r="G455">
        <v>1</v>
      </c>
      <c r="H455">
        <v>934</v>
      </c>
      <c r="I455" t="s">
        <v>14</v>
      </c>
      <c r="J455" t="s">
        <v>33</v>
      </c>
      <c r="K455" t="s">
        <v>15</v>
      </c>
    </row>
    <row r="456" spans="1:11" x14ac:dyDescent="0.35">
      <c r="A456">
        <v>454</v>
      </c>
      <c r="B456" t="s">
        <v>500</v>
      </c>
      <c r="C456" t="s">
        <v>12</v>
      </c>
      <c r="D456" t="s">
        <v>58</v>
      </c>
      <c r="E456">
        <v>46008</v>
      </c>
      <c r="F456" s="1">
        <v>46013</v>
      </c>
      <c r="G456">
        <v>1</v>
      </c>
      <c r="H456">
        <v>979</v>
      </c>
      <c r="I456" t="s">
        <v>28</v>
      </c>
      <c r="J456" t="s">
        <v>551</v>
      </c>
      <c r="K456" t="s">
        <v>29</v>
      </c>
    </row>
    <row r="457" spans="1:11" x14ac:dyDescent="0.35">
      <c r="A457">
        <v>455</v>
      </c>
      <c r="B457" t="s">
        <v>501</v>
      </c>
      <c r="C457" t="s">
        <v>31</v>
      </c>
      <c r="D457" t="s">
        <v>32</v>
      </c>
      <c r="E457">
        <v>45917</v>
      </c>
      <c r="F457" s="1">
        <v>45923</v>
      </c>
      <c r="G457">
        <v>1</v>
      </c>
      <c r="H457">
        <v>805</v>
      </c>
      <c r="I457" t="s">
        <v>28</v>
      </c>
      <c r="J457" t="s">
        <v>549</v>
      </c>
      <c r="K457" t="s">
        <v>29</v>
      </c>
    </row>
    <row r="458" spans="1:11" x14ac:dyDescent="0.35">
      <c r="A458">
        <v>456</v>
      </c>
      <c r="B458" t="s">
        <v>502</v>
      </c>
      <c r="C458" t="s">
        <v>17</v>
      </c>
      <c r="D458" t="s">
        <v>18</v>
      </c>
      <c r="E458">
        <v>45666</v>
      </c>
      <c r="F458" s="1">
        <v>45673</v>
      </c>
      <c r="G458">
        <v>3</v>
      </c>
      <c r="H458">
        <v>319</v>
      </c>
      <c r="I458" t="s">
        <v>14</v>
      </c>
      <c r="J458" t="s">
        <v>551</v>
      </c>
      <c r="K458" t="s">
        <v>46</v>
      </c>
    </row>
    <row r="459" spans="1:11" x14ac:dyDescent="0.35">
      <c r="A459">
        <v>457</v>
      </c>
      <c r="B459" t="s">
        <v>503</v>
      </c>
      <c r="C459" t="s">
        <v>17</v>
      </c>
      <c r="D459" t="s">
        <v>44</v>
      </c>
      <c r="E459">
        <v>45779</v>
      </c>
      <c r="F459" s="1">
        <v>45789</v>
      </c>
      <c r="G459">
        <v>4</v>
      </c>
      <c r="H459">
        <v>872</v>
      </c>
      <c r="I459" t="s">
        <v>14</v>
      </c>
      <c r="J459" t="s">
        <v>550</v>
      </c>
      <c r="K459" t="s">
        <v>29</v>
      </c>
    </row>
    <row r="460" spans="1:11" x14ac:dyDescent="0.35">
      <c r="A460">
        <v>458</v>
      </c>
      <c r="B460" t="s">
        <v>504</v>
      </c>
      <c r="C460" t="s">
        <v>24</v>
      </c>
      <c r="D460" t="s">
        <v>70</v>
      </c>
      <c r="E460">
        <v>45728</v>
      </c>
      <c r="F460" s="1">
        <v>45732</v>
      </c>
      <c r="G460">
        <v>3</v>
      </c>
      <c r="H460">
        <v>154</v>
      </c>
      <c r="I460" t="s">
        <v>28</v>
      </c>
      <c r="J460" t="s">
        <v>550</v>
      </c>
      <c r="K460" t="s">
        <v>29</v>
      </c>
    </row>
    <row r="461" spans="1:11" x14ac:dyDescent="0.35">
      <c r="A461">
        <v>459</v>
      </c>
      <c r="B461" t="s">
        <v>505</v>
      </c>
      <c r="C461" t="s">
        <v>12</v>
      </c>
      <c r="D461" t="s">
        <v>13</v>
      </c>
      <c r="E461">
        <v>45842</v>
      </c>
      <c r="F461" s="1">
        <v>45844</v>
      </c>
      <c r="G461">
        <v>10</v>
      </c>
      <c r="H461">
        <v>674</v>
      </c>
      <c r="I461" t="s">
        <v>28</v>
      </c>
      <c r="J461" t="s">
        <v>549</v>
      </c>
      <c r="K461" t="s">
        <v>19</v>
      </c>
    </row>
    <row r="462" spans="1:11" x14ac:dyDescent="0.35">
      <c r="A462">
        <v>460</v>
      </c>
      <c r="B462" t="s">
        <v>506</v>
      </c>
      <c r="C462" t="s">
        <v>17</v>
      </c>
      <c r="D462" t="s">
        <v>18</v>
      </c>
      <c r="E462">
        <v>45925</v>
      </c>
      <c r="F462" s="1">
        <v>45930</v>
      </c>
      <c r="G462">
        <v>8</v>
      </c>
      <c r="H462">
        <v>203</v>
      </c>
      <c r="I462" t="s">
        <v>14</v>
      </c>
      <c r="J462" t="s">
        <v>547</v>
      </c>
      <c r="K462" t="s">
        <v>19</v>
      </c>
    </row>
    <row r="463" spans="1:11" x14ac:dyDescent="0.35">
      <c r="A463">
        <v>461</v>
      </c>
      <c r="B463" t="s">
        <v>507</v>
      </c>
      <c r="C463" t="s">
        <v>31</v>
      </c>
      <c r="D463" t="s">
        <v>50</v>
      </c>
      <c r="E463">
        <v>45759</v>
      </c>
      <c r="F463" s="1">
        <v>45765</v>
      </c>
      <c r="G463">
        <v>5</v>
      </c>
      <c r="H463">
        <v>608</v>
      </c>
      <c r="I463" t="s">
        <v>28</v>
      </c>
      <c r="J463" t="s">
        <v>551</v>
      </c>
      <c r="K463" t="s">
        <v>46</v>
      </c>
    </row>
    <row r="464" spans="1:11" x14ac:dyDescent="0.35">
      <c r="A464">
        <v>462</v>
      </c>
      <c r="B464" t="s">
        <v>508</v>
      </c>
      <c r="C464" t="s">
        <v>31</v>
      </c>
      <c r="D464" t="s">
        <v>42</v>
      </c>
      <c r="E464">
        <v>45768</v>
      </c>
      <c r="F464" s="1">
        <v>45772</v>
      </c>
      <c r="G464">
        <v>5</v>
      </c>
      <c r="H464">
        <v>664</v>
      </c>
      <c r="I464" t="s">
        <v>28</v>
      </c>
      <c r="J464" t="s">
        <v>33</v>
      </c>
      <c r="K464" t="s">
        <v>19</v>
      </c>
    </row>
    <row r="465" spans="1:11" x14ac:dyDescent="0.35">
      <c r="A465">
        <v>463</v>
      </c>
      <c r="B465" t="s">
        <v>509</v>
      </c>
      <c r="C465" t="s">
        <v>31</v>
      </c>
      <c r="D465" t="s">
        <v>42</v>
      </c>
      <c r="E465">
        <v>45802</v>
      </c>
      <c r="F465" s="1">
        <v>45814</v>
      </c>
      <c r="G465">
        <v>9</v>
      </c>
      <c r="H465">
        <v>164</v>
      </c>
      <c r="I465" t="s">
        <v>28</v>
      </c>
      <c r="J465" t="s">
        <v>547</v>
      </c>
      <c r="K465" t="s">
        <v>15</v>
      </c>
    </row>
    <row r="466" spans="1:11" x14ac:dyDescent="0.35">
      <c r="A466">
        <v>464</v>
      </c>
      <c r="B466" t="s">
        <v>510</v>
      </c>
      <c r="C466" t="s">
        <v>21</v>
      </c>
      <c r="D466" t="s">
        <v>22</v>
      </c>
      <c r="E466">
        <v>45683</v>
      </c>
      <c r="F466" s="1">
        <v>45686</v>
      </c>
      <c r="G466">
        <v>4</v>
      </c>
      <c r="H466">
        <v>200</v>
      </c>
      <c r="I466" t="s">
        <v>14</v>
      </c>
      <c r="J466" t="s">
        <v>549</v>
      </c>
      <c r="K466" t="s">
        <v>46</v>
      </c>
    </row>
    <row r="467" spans="1:11" x14ac:dyDescent="0.35">
      <c r="A467">
        <v>465</v>
      </c>
      <c r="B467" t="s">
        <v>511</v>
      </c>
      <c r="C467" t="s">
        <v>24</v>
      </c>
      <c r="D467" t="s">
        <v>38</v>
      </c>
      <c r="E467">
        <v>45793</v>
      </c>
      <c r="F467" s="1">
        <v>45802</v>
      </c>
      <c r="G467">
        <v>4</v>
      </c>
      <c r="H467">
        <v>959</v>
      </c>
      <c r="I467" t="s">
        <v>14</v>
      </c>
      <c r="J467" t="s">
        <v>550</v>
      </c>
      <c r="K467" t="s">
        <v>29</v>
      </c>
    </row>
    <row r="468" spans="1:11" x14ac:dyDescent="0.35">
      <c r="A468">
        <v>466</v>
      </c>
      <c r="B468" t="s">
        <v>512</v>
      </c>
      <c r="C468" t="s">
        <v>24</v>
      </c>
      <c r="D468" t="s">
        <v>38</v>
      </c>
      <c r="E468">
        <v>45942</v>
      </c>
      <c r="F468" s="1">
        <v>45945</v>
      </c>
      <c r="G468">
        <v>3</v>
      </c>
      <c r="H468">
        <v>960</v>
      </c>
      <c r="I468" t="s">
        <v>14</v>
      </c>
      <c r="J468" t="s">
        <v>547</v>
      </c>
      <c r="K468" t="s">
        <v>46</v>
      </c>
    </row>
    <row r="469" spans="1:11" x14ac:dyDescent="0.35">
      <c r="A469">
        <v>467</v>
      </c>
      <c r="B469" t="s">
        <v>513</v>
      </c>
      <c r="C469" t="s">
        <v>24</v>
      </c>
      <c r="D469" t="s">
        <v>70</v>
      </c>
      <c r="E469">
        <v>45878</v>
      </c>
      <c r="F469" s="1">
        <v>45882</v>
      </c>
      <c r="G469">
        <v>1</v>
      </c>
      <c r="H469">
        <v>269</v>
      </c>
      <c r="I469" t="s">
        <v>14</v>
      </c>
      <c r="J469" t="s">
        <v>550</v>
      </c>
      <c r="K469" t="s">
        <v>15</v>
      </c>
    </row>
    <row r="470" spans="1:11" x14ac:dyDescent="0.35">
      <c r="A470">
        <v>468</v>
      </c>
      <c r="B470" t="s">
        <v>514</v>
      </c>
      <c r="C470" t="s">
        <v>12</v>
      </c>
      <c r="D470" t="s">
        <v>27</v>
      </c>
      <c r="E470">
        <v>45680</v>
      </c>
      <c r="F470" s="1">
        <v>45689</v>
      </c>
      <c r="G470">
        <v>9</v>
      </c>
      <c r="H470">
        <v>498</v>
      </c>
      <c r="I470" t="s">
        <v>14</v>
      </c>
      <c r="J470" t="s">
        <v>551</v>
      </c>
      <c r="K470" t="s">
        <v>46</v>
      </c>
    </row>
    <row r="471" spans="1:11" x14ac:dyDescent="0.35">
      <c r="A471">
        <v>469</v>
      </c>
      <c r="B471" t="s">
        <v>515</v>
      </c>
      <c r="C471" t="s">
        <v>21</v>
      </c>
      <c r="D471" t="s">
        <v>83</v>
      </c>
      <c r="E471">
        <v>45736</v>
      </c>
      <c r="F471" s="1">
        <v>45743</v>
      </c>
      <c r="G471">
        <v>6</v>
      </c>
      <c r="H471">
        <v>662</v>
      </c>
      <c r="I471" t="s">
        <v>14</v>
      </c>
      <c r="J471" t="s">
        <v>550</v>
      </c>
      <c r="K471" t="s">
        <v>46</v>
      </c>
    </row>
    <row r="472" spans="1:11" x14ac:dyDescent="0.35">
      <c r="A472">
        <v>470</v>
      </c>
      <c r="B472" t="s">
        <v>516</v>
      </c>
      <c r="C472" t="s">
        <v>24</v>
      </c>
      <c r="D472" t="s">
        <v>38</v>
      </c>
      <c r="E472">
        <v>45681</v>
      </c>
      <c r="F472" s="1">
        <v>45691</v>
      </c>
      <c r="G472">
        <v>1</v>
      </c>
      <c r="H472">
        <v>909</v>
      </c>
      <c r="I472" t="s">
        <v>28</v>
      </c>
      <c r="J472" t="s">
        <v>33</v>
      </c>
      <c r="K472" t="s">
        <v>15</v>
      </c>
    </row>
    <row r="473" spans="1:11" x14ac:dyDescent="0.35">
      <c r="A473">
        <v>471</v>
      </c>
      <c r="B473" t="s">
        <v>517</v>
      </c>
      <c r="C473" t="s">
        <v>31</v>
      </c>
      <c r="D473" t="s">
        <v>32</v>
      </c>
      <c r="E473">
        <v>46012</v>
      </c>
      <c r="F473" s="1">
        <v>46015</v>
      </c>
      <c r="G473">
        <v>8</v>
      </c>
      <c r="H473">
        <v>189</v>
      </c>
      <c r="I473" t="s">
        <v>14</v>
      </c>
      <c r="J473" t="s">
        <v>551</v>
      </c>
      <c r="K473" t="s">
        <v>29</v>
      </c>
    </row>
    <row r="474" spans="1:11" x14ac:dyDescent="0.35">
      <c r="A474">
        <v>472</v>
      </c>
      <c r="B474" t="s">
        <v>518</v>
      </c>
      <c r="C474" t="s">
        <v>24</v>
      </c>
      <c r="D474" t="s">
        <v>25</v>
      </c>
      <c r="E474">
        <v>45770</v>
      </c>
      <c r="F474" s="1">
        <v>45779</v>
      </c>
      <c r="G474">
        <v>4</v>
      </c>
      <c r="H474">
        <v>689</v>
      </c>
      <c r="I474" t="s">
        <v>28</v>
      </c>
      <c r="J474" t="s">
        <v>549</v>
      </c>
      <c r="K474" t="s">
        <v>19</v>
      </c>
    </row>
    <row r="475" spans="1:11" x14ac:dyDescent="0.35">
      <c r="A475">
        <v>473</v>
      </c>
      <c r="B475" t="s">
        <v>519</v>
      </c>
      <c r="C475" t="s">
        <v>17</v>
      </c>
      <c r="D475" t="s">
        <v>44</v>
      </c>
      <c r="E475">
        <v>45921</v>
      </c>
      <c r="F475" s="1">
        <v>45928</v>
      </c>
      <c r="G475">
        <v>9</v>
      </c>
      <c r="H475">
        <v>485</v>
      </c>
      <c r="I475" t="s">
        <v>28</v>
      </c>
      <c r="J475" t="s">
        <v>550</v>
      </c>
      <c r="K475" t="s">
        <v>29</v>
      </c>
    </row>
    <row r="476" spans="1:11" x14ac:dyDescent="0.35">
      <c r="A476">
        <v>474</v>
      </c>
      <c r="B476" t="s">
        <v>520</v>
      </c>
      <c r="C476" t="s">
        <v>24</v>
      </c>
      <c r="D476" t="s">
        <v>25</v>
      </c>
      <c r="E476">
        <v>45909</v>
      </c>
      <c r="F476" s="1">
        <v>45911</v>
      </c>
      <c r="G476">
        <v>2</v>
      </c>
      <c r="H476">
        <v>31</v>
      </c>
      <c r="I476" t="s">
        <v>28</v>
      </c>
      <c r="J476" t="s">
        <v>547</v>
      </c>
      <c r="K476" t="s">
        <v>15</v>
      </c>
    </row>
    <row r="477" spans="1:11" x14ac:dyDescent="0.35">
      <c r="A477">
        <v>475</v>
      </c>
      <c r="B477" t="s">
        <v>521</v>
      </c>
      <c r="C477" t="s">
        <v>17</v>
      </c>
      <c r="D477" t="s">
        <v>56</v>
      </c>
      <c r="E477">
        <v>45912</v>
      </c>
      <c r="F477" s="1">
        <v>45914</v>
      </c>
      <c r="G477">
        <v>6</v>
      </c>
      <c r="H477">
        <v>806</v>
      </c>
      <c r="I477" t="s">
        <v>14</v>
      </c>
      <c r="J477" t="s">
        <v>33</v>
      </c>
      <c r="K477" t="s">
        <v>15</v>
      </c>
    </row>
    <row r="478" spans="1:11" x14ac:dyDescent="0.35">
      <c r="A478">
        <v>476</v>
      </c>
      <c r="B478" t="s">
        <v>522</v>
      </c>
      <c r="C478" t="s">
        <v>31</v>
      </c>
      <c r="D478" t="s">
        <v>42</v>
      </c>
      <c r="E478">
        <v>45938</v>
      </c>
      <c r="F478" s="1">
        <v>45940</v>
      </c>
      <c r="G478">
        <v>5</v>
      </c>
      <c r="H478">
        <v>720</v>
      </c>
      <c r="I478" t="s">
        <v>14</v>
      </c>
      <c r="J478" t="s">
        <v>551</v>
      </c>
      <c r="K478" t="s">
        <v>29</v>
      </c>
    </row>
    <row r="479" spans="1:11" x14ac:dyDescent="0.35">
      <c r="A479">
        <v>477</v>
      </c>
      <c r="B479" t="s">
        <v>523</v>
      </c>
      <c r="C479" t="s">
        <v>31</v>
      </c>
      <c r="D479" t="s">
        <v>42</v>
      </c>
      <c r="E479">
        <v>45855</v>
      </c>
      <c r="F479" s="1">
        <v>45861</v>
      </c>
      <c r="G479">
        <v>2</v>
      </c>
      <c r="H479">
        <v>420</v>
      </c>
      <c r="I479" t="s">
        <v>14</v>
      </c>
      <c r="J479" t="s">
        <v>549</v>
      </c>
      <c r="K479" t="s">
        <v>46</v>
      </c>
    </row>
    <row r="480" spans="1:11" x14ac:dyDescent="0.35">
      <c r="A480">
        <v>478</v>
      </c>
      <c r="B480" t="s">
        <v>524</v>
      </c>
      <c r="C480" t="s">
        <v>24</v>
      </c>
      <c r="D480" t="s">
        <v>70</v>
      </c>
      <c r="E480">
        <v>46007</v>
      </c>
      <c r="F480" s="1">
        <v>46017</v>
      </c>
      <c r="G480">
        <v>3</v>
      </c>
      <c r="H480">
        <v>10</v>
      </c>
      <c r="I480" t="s">
        <v>14</v>
      </c>
      <c r="J480" t="s">
        <v>33</v>
      </c>
      <c r="K480" t="s">
        <v>46</v>
      </c>
    </row>
    <row r="481" spans="1:11" x14ac:dyDescent="0.35">
      <c r="A481">
        <v>479</v>
      </c>
      <c r="B481" t="s">
        <v>525</v>
      </c>
      <c r="C481" t="s">
        <v>17</v>
      </c>
      <c r="D481" t="s">
        <v>18</v>
      </c>
      <c r="E481">
        <v>45953</v>
      </c>
      <c r="F481" s="1">
        <v>45963</v>
      </c>
      <c r="G481">
        <v>1</v>
      </c>
      <c r="H481">
        <v>950</v>
      </c>
      <c r="I481" t="s">
        <v>14</v>
      </c>
      <c r="J481" t="s">
        <v>549</v>
      </c>
      <c r="K481" t="s">
        <v>19</v>
      </c>
    </row>
    <row r="482" spans="1:11" x14ac:dyDescent="0.35">
      <c r="A482">
        <v>480</v>
      </c>
      <c r="B482" t="s">
        <v>526</v>
      </c>
      <c r="C482" t="s">
        <v>21</v>
      </c>
      <c r="D482" t="s">
        <v>40</v>
      </c>
      <c r="E482">
        <v>45716</v>
      </c>
      <c r="F482" s="1">
        <v>45722</v>
      </c>
      <c r="G482">
        <v>7</v>
      </c>
      <c r="H482">
        <v>996</v>
      </c>
      <c r="I482" t="s">
        <v>14</v>
      </c>
      <c r="J482" t="s">
        <v>547</v>
      </c>
      <c r="K482" t="s">
        <v>15</v>
      </c>
    </row>
    <row r="483" spans="1:11" x14ac:dyDescent="0.35">
      <c r="A483">
        <v>481</v>
      </c>
      <c r="B483" t="s">
        <v>527</v>
      </c>
      <c r="C483" t="s">
        <v>17</v>
      </c>
      <c r="D483" t="s">
        <v>56</v>
      </c>
      <c r="E483">
        <v>45689</v>
      </c>
      <c r="F483" s="1">
        <v>45693</v>
      </c>
      <c r="G483">
        <v>4</v>
      </c>
      <c r="H483">
        <v>439</v>
      </c>
      <c r="I483" t="s">
        <v>14</v>
      </c>
      <c r="J483" t="s">
        <v>550</v>
      </c>
      <c r="K483" t="s">
        <v>29</v>
      </c>
    </row>
    <row r="484" spans="1:11" x14ac:dyDescent="0.35">
      <c r="A484">
        <v>482</v>
      </c>
      <c r="B484" t="s">
        <v>528</v>
      </c>
      <c r="C484" t="s">
        <v>17</v>
      </c>
      <c r="D484" t="s">
        <v>56</v>
      </c>
      <c r="E484">
        <v>45660</v>
      </c>
      <c r="F484" s="1">
        <v>45667</v>
      </c>
      <c r="G484">
        <v>9</v>
      </c>
      <c r="H484">
        <v>727</v>
      </c>
      <c r="I484" t="s">
        <v>14</v>
      </c>
      <c r="J484" t="s">
        <v>551</v>
      </c>
      <c r="K484" t="s">
        <v>15</v>
      </c>
    </row>
    <row r="485" spans="1:11" x14ac:dyDescent="0.35">
      <c r="A485">
        <v>483</v>
      </c>
      <c r="B485" t="s">
        <v>529</v>
      </c>
      <c r="C485" t="s">
        <v>12</v>
      </c>
      <c r="D485" t="s">
        <v>27</v>
      </c>
      <c r="E485">
        <v>45704</v>
      </c>
      <c r="F485" s="1">
        <v>45708</v>
      </c>
      <c r="G485">
        <v>5</v>
      </c>
      <c r="H485">
        <v>314</v>
      </c>
      <c r="I485" t="s">
        <v>14</v>
      </c>
      <c r="J485" t="s">
        <v>33</v>
      </c>
      <c r="K485" t="s">
        <v>29</v>
      </c>
    </row>
    <row r="486" spans="1:11" x14ac:dyDescent="0.35">
      <c r="A486">
        <v>484</v>
      </c>
      <c r="B486" t="s">
        <v>530</v>
      </c>
      <c r="C486" t="s">
        <v>31</v>
      </c>
      <c r="D486" t="s">
        <v>76</v>
      </c>
      <c r="E486">
        <v>45920</v>
      </c>
      <c r="F486" s="1">
        <v>45924</v>
      </c>
      <c r="G486">
        <v>8</v>
      </c>
      <c r="H486">
        <v>419</v>
      </c>
      <c r="I486" t="s">
        <v>28</v>
      </c>
      <c r="J486" t="s">
        <v>551</v>
      </c>
      <c r="K486" t="s">
        <v>46</v>
      </c>
    </row>
    <row r="487" spans="1:11" x14ac:dyDescent="0.35">
      <c r="A487">
        <v>485</v>
      </c>
      <c r="B487" t="s">
        <v>39</v>
      </c>
      <c r="C487" t="s">
        <v>17</v>
      </c>
      <c r="D487" t="s">
        <v>44</v>
      </c>
      <c r="E487">
        <v>45987</v>
      </c>
      <c r="F487" s="1">
        <v>45996</v>
      </c>
      <c r="G487">
        <v>5</v>
      </c>
      <c r="H487">
        <v>900</v>
      </c>
      <c r="I487" t="s">
        <v>28</v>
      </c>
      <c r="J487" t="s">
        <v>549</v>
      </c>
      <c r="K487" t="s">
        <v>46</v>
      </c>
    </row>
    <row r="488" spans="1:11" x14ac:dyDescent="0.35">
      <c r="A488">
        <v>486</v>
      </c>
      <c r="B488" t="s">
        <v>41</v>
      </c>
      <c r="C488" t="s">
        <v>24</v>
      </c>
      <c r="D488" t="s">
        <v>25</v>
      </c>
      <c r="E488">
        <v>45988</v>
      </c>
      <c r="F488" s="1">
        <v>45994</v>
      </c>
      <c r="G488">
        <v>7</v>
      </c>
      <c r="H488">
        <v>444</v>
      </c>
      <c r="I488" t="s">
        <v>28</v>
      </c>
      <c r="J488" t="s">
        <v>549</v>
      </c>
      <c r="K488" t="s">
        <v>46</v>
      </c>
    </row>
    <row r="489" spans="1:11" x14ac:dyDescent="0.35">
      <c r="A489">
        <v>487</v>
      </c>
      <c r="B489" t="s">
        <v>43</v>
      </c>
      <c r="C489" t="s">
        <v>24</v>
      </c>
      <c r="D489" t="s">
        <v>25</v>
      </c>
      <c r="E489">
        <v>45814</v>
      </c>
      <c r="F489" s="1">
        <v>45817</v>
      </c>
      <c r="G489">
        <v>5</v>
      </c>
      <c r="H489">
        <v>615</v>
      </c>
      <c r="I489" t="s">
        <v>28</v>
      </c>
      <c r="J489" t="s">
        <v>549</v>
      </c>
      <c r="K489" t="s">
        <v>15</v>
      </c>
    </row>
    <row r="490" spans="1:11" x14ac:dyDescent="0.35">
      <c r="A490">
        <v>488</v>
      </c>
      <c r="B490" t="s">
        <v>45</v>
      </c>
      <c r="C490" t="s">
        <v>17</v>
      </c>
      <c r="D490" t="s">
        <v>64</v>
      </c>
      <c r="E490">
        <v>46006</v>
      </c>
      <c r="F490" s="1">
        <v>46007</v>
      </c>
      <c r="G490">
        <v>7</v>
      </c>
      <c r="H490">
        <v>595</v>
      </c>
      <c r="I490" t="s">
        <v>14</v>
      </c>
      <c r="J490" t="s">
        <v>551</v>
      </c>
      <c r="K490" t="s">
        <v>19</v>
      </c>
    </row>
    <row r="491" spans="1:11" x14ac:dyDescent="0.35">
      <c r="A491">
        <v>489</v>
      </c>
      <c r="B491" t="s">
        <v>47</v>
      </c>
      <c r="C491" t="s">
        <v>31</v>
      </c>
      <c r="D491" t="s">
        <v>50</v>
      </c>
      <c r="E491">
        <v>45660</v>
      </c>
      <c r="F491" s="1">
        <v>45669</v>
      </c>
      <c r="G491">
        <v>1</v>
      </c>
      <c r="H491">
        <v>669</v>
      </c>
      <c r="I491" t="s">
        <v>14</v>
      </c>
      <c r="J491" t="s">
        <v>551</v>
      </c>
      <c r="K491" t="s">
        <v>19</v>
      </c>
    </row>
    <row r="492" spans="1:11" x14ac:dyDescent="0.35">
      <c r="A492">
        <v>490</v>
      </c>
      <c r="B492" t="s">
        <v>48</v>
      </c>
      <c r="C492" t="s">
        <v>21</v>
      </c>
      <c r="D492" t="s">
        <v>40</v>
      </c>
      <c r="E492">
        <v>45879</v>
      </c>
      <c r="F492" s="1">
        <v>45882</v>
      </c>
      <c r="G492">
        <v>9</v>
      </c>
      <c r="H492">
        <v>967</v>
      </c>
      <c r="I492" t="s">
        <v>14</v>
      </c>
      <c r="J492" t="s">
        <v>33</v>
      </c>
      <c r="K492" t="s">
        <v>19</v>
      </c>
    </row>
    <row r="493" spans="1:11" x14ac:dyDescent="0.35">
      <c r="A493">
        <v>491</v>
      </c>
      <c r="B493" t="s">
        <v>49</v>
      </c>
      <c r="C493" t="s">
        <v>12</v>
      </c>
      <c r="D493" t="s">
        <v>13</v>
      </c>
      <c r="E493">
        <v>45759</v>
      </c>
      <c r="F493" s="1">
        <v>45765</v>
      </c>
      <c r="G493">
        <v>5</v>
      </c>
      <c r="H493">
        <v>874</v>
      </c>
      <c r="I493" t="s">
        <v>14</v>
      </c>
      <c r="J493" t="s">
        <v>33</v>
      </c>
      <c r="K493" t="s">
        <v>46</v>
      </c>
    </row>
    <row r="494" spans="1:11" x14ac:dyDescent="0.35">
      <c r="A494">
        <v>492</v>
      </c>
      <c r="B494" t="s">
        <v>51</v>
      </c>
      <c r="C494" t="s">
        <v>24</v>
      </c>
      <c r="D494" t="s">
        <v>38</v>
      </c>
      <c r="E494">
        <v>45948</v>
      </c>
      <c r="F494" s="1">
        <v>45955</v>
      </c>
      <c r="G494">
        <v>6</v>
      </c>
      <c r="H494">
        <v>124</v>
      </c>
      <c r="I494" t="s">
        <v>28</v>
      </c>
      <c r="J494" t="s">
        <v>551</v>
      </c>
      <c r="K494" t="s">
        <v>46</v>
      </c>
    </row>
    <row r="495" spans="1:11" x14ac:dyDescent="0.35">
      <c r="A495">
        <v>493</v>
      </c>
      <c r="B495" t="s">
        <v>53</v>
      </c>
      <c r="C495" t="s">
        <v>17</v>
      </c>
      <c r="D495" t="s">
        <v>44</v>
      </c>
      <c r="E495">
        <v>45956</v>
      </c>
      <c r="F495" s="1">
        <v>45962</v>
      </c>
      <c r="G495">
        <v>6</v>
      </c>
      <c r="H495">
        <v>894</v>
      </c>
      <c r="I495" t="s">
        <v>28</v>
      </c>
      <c r="J495" t="s">
        <v>33</v>
      </c>
      <c r="K495" t="s">
        <v>15</v>
      </c>
    </row>
    <row r="496" spans="1:11" x14ac:dyDescent="0.35">
      <c r="A496">
        <v>494</v>
      </c>
      <c r="B496" t="s">
        <v>55</v>
      </c>
      <c r="C496" t="s">
        <v>21</v>
      </c>
      <c r="D496" t="s">
        <v>54</v>
      </c>
      <c r="E496">
        <v>45800</v>
      </c>
      <c r="F496" s="1">
        <v>45803</v>
      </c>
      <c r="G496">
        <v>4</v>
      </c>
      <c r="H496">
        <v>740</v>
      </c>
      <c r="I496" t="s">
        <v>14</v>
      </c>
      <c r="J496" t="s">
        <v>549</v>
      </c>
      <c r="K496" t="s">
        <v>29</v>
      </c>
    </row>
    <row r="497" spans="1:11" x14ac:dyDescent="0.35">
      <c r="A497">
        <v>495</v>
      </c>
      <c r="B497" t="s">
        <v>57</v>
      </c>
      <c r="C497" t="s">
        <v>31</v>
      </c>
      <c r="D497" t="s">
        <v>50</v>
      </c>
      <c r="E497">
        <v>45916</v>
      </c>
      <c r="F497" s="1">
        <v>45919</v>
      </c>
      <c r="G497">
        <v>10</v>
      </c>
      <c r="H497">
        <v>741</v>
      </c>
      <c r="I497" t="s">
        <v>28</v>
      </c>
      <c r="J497" t="s">
        <v>547</v>
      </c>
      <c r="K497" t="s">
        <v>46</v>
      </c>
    </row>
    <row r="498" spans="1:11" x14ac:dyDescent="0.35">
      <c r="A498">
        <v>496</v>
      </c>
      <c r="B498" t="s">
        <v>43</v>
      </c>
      <c r="C498" t="s">
        <v>12</v>
      </c>
      <c r="D498" t="s">
        <v>13</v>
      </c>
      <c r="E498">
        <v>45709</v>
      </c>
      <c r="F498" s="1">
        <v>45718</v>
      </c>
      <c r="G498">
        <v>1</v>
      </c>
      <c r="H498">
        <v>474</v>
      </c>
      <c r="I498" t="s">
        <v>28</v>
      </c>
      <c r="J498" t="s">
        <v>33</v>
      </c>
      <c r="K498" t="s">
        <v>29</v>
      </c>
    </row>
    <row r="499" spans="1:11" x14ac:dyDescent="0.35">
      <c r="A499">
        <v>497</v>
      </c>
      <c r="B499" t="s">
        <v>59</v>
      </c>
      <c r="C499" t="s">
        <v>31</v>
      </c>
      <c r="D499" t="s">
        <v>76</v>
      </c>
      <c r="E499">
        <v>45691</v>
      </c>
      <c r="F499" s="1">
        <v>45696</v>
      </c>
      <c r="G499">
        <v>7</v>
      </c>
      <c r="H499">
        <v>811</v>
      </c>
      <c r="I499" t="s">
        <v>28</v>
      </c>
      <c r="J499" t="s">
        <v>550</v>
      </c>
      <c r="K499" t="s">
        <v>15</v>
      </c>
    </row>
    <row r="500" spans="1:11" x14ac:dyDescent="0.35">
      <c r="A500">
        <v>498</v>
      </c>
      <c r="B500" t="s">
        <v>61</v>
      </c>
      <c r="C500" t="s">
        <v>24</v>
      </c>
      <c r="D500" t="s">
        <v>25</v>
      </c>
      <c r="E500">
        <v>45741</v>
      </c>
      <c r="F500" s="1">
        <v>45745</v>
      </c>
      <c r="G500">
        <v>4</v>
      </c>
      <c r="H500">
        <v>247</v>
      </c>
      <c r="I500" t="s">
        <v>14</v>
      </c>
      <c r="J500" t="s">
        <v>33</v>
      </c>
      <c r="K500" t="s">
        <v>46</v>
      </c>
    </row>
    <row r="501" spans="1:11" x14ac:dyDescent="0.35">
      <c r="A501">
        <v>499</v>
      </c>
      <c r="B501" t="s">
        <v>62</v>
      </c>
      <c r="C501" t="s">
        <v>31</v>
      </c>
      <c r="D501" t="s">
        <v>32</v>
      </c>
      <c r="E501">
        <v>45741</v>
      </c>
      <c r="F501" s="1">
        <v>45752</v>
      </c>
      <c r="G501">
        <v>3</v>
      </c>
      <c r="H501">
        <v>774</v>
      </c>
      <c r="I501" t="s">
        <v>28</v>
      </c>
      <c r="J501" t="s">
        <v>547</v>
      </c>
      <c r="K501" t="s">
        <v>19</v>
      </c>
    </row>
    <row r="502" spans="1:11" x14ac:dyDescent="0.35">
      <c r="A502">
        <v>500</v>
      </c>
      <c r="B502" t="s">
        <v>63</v>
      </c>
      <c r="C502" t="s">
        <v>21</v>
      </c>
      <c r="D502" t="s">
        <v>83</v>
      </c>
      <c r="E502">
        <v>45753</v>
      </c>
      <c r="F502" s="1">
        <v>45759</v>
      </c>
      <c r="G502">
        <v>5</v>
      </c>
      <c r="H502">
        <v>63</v>
      </c>
      <c r="I502" t="s">
        <v>14</v>
      </c>
      <c r="J502" t="s">
        <v>549</v>
      </c>
      <c r="K502" t="s">
        <v>46</v>
      </c>
    </row>
    <row r="503" spans="1:11" x14ac:dyDescent="0.35">
      <c r="A503">
        <v>501</v>
      </c>
      <c r="B503" t="s">
        <v>65</v>
      </c>
      <c r="C503" t="s">
        <v>31</v>
      </c>
      <c r="D503" t="s">
        <v>32</v>
      </c>
      <c r="E503">
        <v>45764</v>
      </c>
      <c r="F503" s="1">
        <v>45770</v>
      </c>
      <c r="G503">
        <v>1</v>
      </c>
      <c r="H503">
        <v>30</v>
      </c>
      <c r="I503" t="s">
        <v>28</v>
      </c>
      <c r="J503" t="s">
        <v>33</v>
      </c>
      <c r="K503" t="s">
        <v>15</v>
      </c>
    </row>
    <row r="504" spans="1:11" x14ac:dyDescent="0.35">
      <c r="A504">
        <v>502</v>
      </c>
      <c r="B504" t="s">
        <v>66</v>
      </c>
      <c r="C504" t="s">
        <v>12</v>
      </c>
      <c r="D504" t="s">
        <v>13</v>
      </c>
      <c r="E504">
        <v>45931</v>
      </c>
      <c r="F504" s="1">
        <v>45933</v>
      </c>
      <c r="G504">
        <v>7</v>
      </c>
      <c r="H504">
        <v>149</v>
      </c>
      <c r="I504" t="s">
        <v>28</v>
      </c>
      <c r="J504" t="s">
        <v>551</v>
      </c>
      <c r="K504" t="s">
        <v>29</v>
      </c>
    </row>
    <row r="505" spans="1:11" x14ac:dyDescent="0.35">
      <c r="A505">
        <v>503</v>
      </c>
      <c r="B505" t="s">
        <v>67</v>
      </c>
      <c r="C505" t="s">
        <v>31</v>
      </c>
      <c r="D505" t="s">
        <v>42</v>
      </c>
      <c r="E505">
        <v>45662</v>
      </c>
      <c r="F505" s="1">
        <v>45663</v>
      </c>
      <c r="G505">
        <v>4</v>
      </c>
      <c r="H505">
        <v>212</v>
      </c>
      <c r="I505" t="s">
        <v>14</v>
      </c>
      <c r="J505" t="s">
        <v>550</v>
      </c>
      <c r="K505" t="s">
        <v>15</v>
      </c>
    </row>
    <row r="506" spans="1:11" x14ac:dyDescent="0.35">
      <c r="A506">
        <v>504</v>
      </c>
      <c r="B506" t="s">
        <v>68</v>
      </c>
      <c r="C506" t="s">
        <v>24</v>
      </c>
      <c r="D506" t="s">
        <v>70</v>
      </c>
      <c r="E506">
        <v>45669</v>
      </c>
      <c r="F506" s="1">
        <v>45684</v>
      </c>
      <c r="G506">
        <v>10</v>
      </c>
      <c r="H506">
        <v>639</v>
      </c>
      <c r="I506" t="s">
        <v>28</v>
      </c>
      <c r="J506" t="s">
        <v>547</v>
      </c>
      <c r="K506" t="s">
        <v>46</v>
      </c>
    </row>
    <row r="507" spans="1:11" x14ac:dyDescent="0.35">
      <c r="A507">
        <v>505</v>
      </c>
      <c r="B507" t="s">
        <v>69</v>
      </c>
      <c r="C507" t="s">
        <v>17</v>
      </c>
      <c r="D507" t="s">
        <v>44</v>
      </c>
      <c r="E507">
        <v>45682</v>
      </c>
      <c r="F507" s="1">
        <v>45683</v>
      </c>
      <c r="G507">
        <v>7</v>
      </c>
      <c r="H507">
        <v>785</v>
      </c>
      <c r="I507" t="s">
        <v>14</v>
      </c>
      <c r="J507" t="s">
        <v>547</v>
      </c>
      <c r="K507" t="s">
        <v>19</v>
      </c>
    </row>
    <row r="508" spans="1:11" x14ac:dyDescent="0.35">
      <c r="A508">
        <v>506</v>
      </c>
      <c r="B508" t="s">
        <v>71</v>
      </c>
      <c r="C508" t="s">
        <v>21</v>
      </c>
      <c r="D508" t="s">
        <v>54</v>
      </c>
      <c r="E508">
        <v>45915</v>
      </c>
      <c r="F508" s="1">
        <v>45918</v>
      </c>
      <c r="G508">
        <v>8</v>
      </c>
      <c r="H508">
        <v>656</v>
      </c>
      <c r="I508" t="s">
        <v>14</v>
      </c>
      <c r="J508" t="s">
        <v>551</v>
      </c>
      <c r="K508" t="s">
        <v>46</v>
      </c>
    </row>
    <row r="509" spans="1:11" x14ac:dyDescent="0.35">
      <c r="A509">
        <v>507</v>
      </c>
      <c r="B509" t="s">
        <v>72</v>
      </c>
      <c r="C509" t="s">
        <v>21</v>
      </c>
      <c r="D509" t="s">
        <v>83</v>
      </c>
      <c r="E509">
        <v>45691</v>
      </c>
      <c r="F509" s="1">
        <v>45699</v>
      </c>
      <c r="G509">
        <v>3</v>
      </c>
      <c r="H509">
        <v>703</v>
      </c>
      <c r="I509" t="s">
        <v>14</v>
      </c>
      <c r="J509" t="s">
        <v>547</v>
      </c>
      <c r="K509" t="s">
        <v>29</v>
      </c>
    </row>
    <row r="510" spans="1:11" x14ac:dyDescent="0.35">
      <c r="A510">
        <v>508</v>
      </c>
      <c r="B510" t="s">
        <v>73</v>
      </c>
      <c r="C510" t="s">
        <v>17</v>
      </c>
      <c r="D510" t="s">
        <v>18</v>
      </c>
      <c r="E510">
        <v>45936</v>
      </c>
      <c r="F510" s="1">
        <v>45940</v>
      </c>
      <c r="G510">
        <v>3</v>
      </c>
      <c r="H510">
        <v>908</v>
      </c>
      <c r="I510" t="s">
        <v>28</v>
      </c>
      <c r="J510" t="s">
        <v>547</v>
      </c>
      <c r="K510" t="s">
        <v>15</v>
      </c>
    </row>
    <row r="511" spans="1:11" x14ac:dyDescent="0.35">
      <c r="A511">
        <v>509</v>
      </c>
      <c r="B511" t="s">
        <v>74</v>
      </c>
      <c r="C511" t="s">
        <v>31</v>
      </c>
      <c r="D511" t="s">
        <v>50</v>
      </c>
      <c r="E511">
        <v>45949</v>
      </c>
      <c r="F511" s="1">
        <v>45961</v>
      </c>
      <c r="G511">
        <v>7</v>
      </c>
      <c r="H511">
        <v>50</v>
      </c>
      <c r="I511" t="s">
        <v>28</v>
      </c>
      <c r="J511" t="s">
        <v>550</v>
      </c>
      <c r="K511" t="s">
        <v>29</v>
      </c>
    </row>
    <row r="512" spans="1:11" x14ac:dyDescent="0.35">
      <c r="A512">
        <v>510</v>
      </c>
      <c r="B512" t="s">
        <v>75</v>
      </c>
      <c r="C512" t="s">
        <v>21</v>
      </c>
      <c r="D512" t="s">
        <v>54</v>
      </c>
      <c r="E512">
        <v>45804</v>
      </c>
      <c r="F512" s="1">
        <v>45812</v>
      </c>
      <c r="G512">
        <v>10</v>
      </c>
      <c r="H512">
        <v>723</v>
      </c>
      <c r="I512" t="s">
        <v>28</v>
      </c>
      <c r="J512" t="s">
        <v>549</v>
      </c>
      <c r="K512" t="s">
        <v>29</v>
      </c>
    </row>
    <row r="513" spans="1:11" x14ac:dyDescent="0.35">
      <c r="A513">
        <v>511</v>
      </c>
      <c r="B513" t="s">
        <v>77</v>
      </c>
      <c r="C513" t="s">
        <v>21</v>
      </c>
      <c r="D513" t="s">
        <v>54</v>
      </c>
      <c r="E513">
        <v>45967</v>
      </c>
      <c r="F513" s="1">
        <v>45973</v>
      </c>
      <c r="G513">
        <v>7</v>
      </c>
      <c r="H513">
        <v>568</v>
      </c>
      <c r="I513" t="s">
        <v>28</v>
      </c>
      <c r="J513" t="s">
        <v>547</v>
      </c>
      <c r="K513" t="s">
        <v>46</v>
      </c>
    </row>
    <row r="514" spans="1:11" x14ac:dyDescent="0.35">
      <c r="A514">
        <v>512</v>
      </c>
      <c r="B514" t="s">
        <v>78</v>
      </c>
      <c r="C514" t="s">
        <v>21</v>
      </c>
      <c r="D514" t="s">
        <v>83</v>
      </c>
      <c r="E514">
        <v>45972</v>
      </c>
      <c r="F514" s="1">
        <v>45987</v>
      </c>
      <c r="G514">
        <v>6</v>
      </c>
      <c r="H514">
        <v>250</v>
      </c>
      <c r="I514" t="s">
        <v>28</v>
      </c>
      <c r="J514" t="s">
        <v>550</v>
      </c>
      <c r="K514" t="s">
        <v>29</v>
      </c>
    </row>
    <row r="515" spans="1:11" x14ac:dyDescent="0.35">
      <c r="A515">
        <v>513</v>
      </c>
      <c r="B515" t="s">
        <v>80</v>
      </c>
      <c r="C515" t="s">
        <v>12</v>
      </c>
      <c r="D515" t="s">
        <v>58</v>
      </c>
      <c r="E515">
        <v>45693</v>
      </c>
      <c r="F515" s="1">
        <v>45694</v>
      </c>
      <c r="G515">
        <v>4</v>
      </c>
      <c r="H515">
        <v>572</v>
      </c>
      <c r="I515" t="s">
        <v>14</v>
      </c>
      <c r="J515" t="s">
        <v>550</v>
      </c>
      <c r="K515" t="s">
        <v>29</v>
      </c>
    </row>
    <row r="516" spans="1:11" x14ac:dyDescent="0.35">
      <c r="A516">
        <v>514</v>
      </c>
      <c r="B516" t="s">
        <v>81</v>
      </c>
      <c r="C516" t="s">
        <v>31</v>
      </c>
      <c r="D516" t="s">
        <v>42</v>
      </c>
      <c r="E516">
        <v>45678</v>
      </c>
      <c r="F516" s="1">
        <v>45692</v>
      </c>
      <c r="G516">
        <v>8</v>
      </c>
      <c r="H516">
        <v>849</v>
      </c>
      <c r="I516" t="s">
        <v>28</v>
      </c>
      <c r="J516" t="s">
        <v>551</v>
      </c>
      <c r="K516" t="s">
        <v>19</v>
      </c>
    </row>
    <row r="517" spans="1:11" x14ac:dyDescent="0.35">
      <c r="A517">
        <v>515</v>
      </c>
      <c r="B517" t="s">
        <v>82</v>
      </c>
      <c r="C517" t="s">
        <v>24</v>
      </c>
      <c r="D517" t="s">
        <v>25</v>
      </c>
      <c r="E517">
        <v>45733</v>
      </c>
      <c r="F517" s="1">
        <v>45736</v>
      </c>
      <c r="G517">
        <v>8</v>
      </c>
      <c r="H517">
        <v>858</v>
      </c>
      <c r="I517" t="s">
        <v>28</v>
      </c>
      <c r="J517" t="s">
        <v>547</v>
      </c>
      <c r="K517" t="s">
        <v>19</v>
      </c>
    </row>
    <row r="518" spans="1:11" x14ac:dyDescent="0.35">
      <c r="A518">
        <v>516</v>
      </c>
      <c r="B518" t="s">
        <v>84</v>
      </c>
      <c r="C518" t="s">
        <v>17</v>
      </c>
      <c r="D518" t="s">
        <v>44</v>
      </c>
      <c r="E518">
        <v>45844</v>
      </c>
      <c r="F518" s="1">
        <v>45852</v>
      </c>
      <c r="G518">
        <v>1</v>
      </c>
      <c r="H518">
        <v>256</v>
      </c>
      <c r="I518" t="s">
        <v>14</v>
      </c>
      <c r="J518" t="s">
        <v>33</v>
      </c>
      <c r="K518" t="s">
        <v>46</v>
      </c>
    </row>
    <row r="519" spans="1:11" x14ac:dyDescent="0.35">
      <c r="A519">
        <v>517</v>
      </c>
      <c r="B519" t="s">
        <v>85</v>
      </c>
      <c r="C519" t="s">
        <v>12</v>
      </c>
      <c r="D519" t="s">
        <v>13</v>
      </c>
      <c r="E519">
        <v>45799</v>
      </c>
      <c r="F519" s="1">
        <v>45806</v>
      </c>
      <c r="G519">
        <v>8</v>
      </c>
      <c r="H519">
        <v>453</v>
      </c>
      <c r="I519" t="s">
        <v>28</v>
      </c>
      <c r="J519" t="s">
        <v>549</v>
      </c>
      <c r="K519" t="s">
        <v>19</v>
      </c>
    </row>
    <row r="520" spans="1:11" x14ac:dyDescent="0.35">
      <c r="A520">
        <v>518</v>
      </c>
      <c r="B520" t="s">
        <v>86</v>
      </c>
      <c r="C520" t="s">
        <v>24</v>
      </c>
      <c r="D520" t="s">
        <v>25</v>
      </c>
      <c r="E520">
        <v>45822</v>
      </c>
      <c r="F520" s="1">
        <v>45836</v>
      </c>
      <c r="G520">
        <v>6</v>
      </c>
      <c r="H520">
        <v>218</v>
      </c>
      <c r="I520" t="s">
        <v>28</v>
      </c>
      <c r="J520" t="s">
        <v>33</v>
      </c>
      <c r="K520" t="s">
        <v>15</v>
      </c>
    </row>
    <row r="521" spans="1:11" x14ac:dyDescent="0.35">
      <c r="A521">
        <v>519</v>
      </c>
      <c r="B521" t="s">
        <v>87</v>
      </c>
      <c r="C521" t="s">
        <v>17</v>
      </c>
      <c r="D521" t="s">
        <v>44</v>
      </c>
      <c r="E521">
        <v>46009</v>
      </c>
      <c r="F521" s="1">
        <v>46018</v>
      </c>
      <c r="G521">
        <v>7</v>
      </c>
      <c r="H521">
        <v>481</v>
      </c>
      <c r="I521" t="s">
        <v>28</v>
      </c>
      <c r="J521" t="s">
        <v>549</v>
      </c>
      <c r="K521" t="s">
        <v>46</v>
      </c>
    </row>
    <row r="522" spans="1:11" x14ac:dyDescent="0.35">
      <c r="A522">
        <v>520</v>
      </c>
      <c r="B522" t="s">
        <v>88</v>
      </c>
      <c r="C522" t="s">
        <v>21</v>
      </c>
      <c r="D522" t="s">
        <v>22</v>
      </c>
      <c r="E522">
        <v>45756</v>
      </c>
      <c r="F522" s="1">
        <v>45764</v>
      </c>
      <c r="G522">
        <v>1</v>
      </c>
      <c r="H522">
        <v>420</v>
      </c>
      <c r="I522" t="s">
        <v>14</v>
      </c>
      <c r="J522" t="s">
        <v>550</v>
      </c>
      <c r="K522" t="s">
        <v>29</v>
      </c>
    </row>
    <row r="523" spans="1:11" x14ac:dyDescent="0.35">
      <c r="A523">
        <v>521</v>
      </c>
      <c r="B523" t="s">
        <v>89</v>
      </c>
      <c r="C523" t="s">
        <v>17</v>
      </c>
      <c r="D523" t="s">
        <v>18</v>
      </c>
      <c r="E523">
        <v>45871</v>
      </c>
      <c r="F523" s="1">
        <v>45875</v>
      </c>
      <c r="G523">
        <v>1</v>
      </c>
      <c r="H523">
        <v>98</v>
      </c>
      <c r="I523" t="s">
        <v>28</v>
      </c>
      <c r="J523" t="s">
        <v>550</v>
      </c>
      <c r="K523" t="s">
        <v>46</v>
      </c>
    </row>
    <row r="524" spans="1:11" x14ac:dyDescent="0.35">
      <c r="A524">
        <v>522</v>
      </c>
      <c r="B524" t="s">
        <v>90</v>
      </c>
      <c r="C524" t="s">
        <v>31</v>
      </c>
      <c r="D524" t="s">
        <v>76</v>
      </c>
      <c r="E524">
        <v>45714</v>
      </c>
      <c r="F524" s="1">
        <v>45721</v>
      </c>
      <c r="G524">
        <v>1</v>
      </c>
      <c r="H524">
        <v>444</v>
      </c>
      <c r="I524" t="s">
        <v>28</v>
      </c>
      <c r="J524" t="s">
        <v>550</v>
      </c>
      <c r="K524" t="s">
        <v>15</v>
      </c>
    </row>
    <row r="525" spans="1:11" x14ac:dyDescent="0.35">
      <c r="A525">
        <v>523</v>
      </c>
      <c r="B525" t="s">
        <v>91</v>
      </c>
      <c r="C525" t="s">
        <v>17</v>
      </c>
      <c r="D525" t="s">
        <v>64</v>
      </c>
      <c r="E525">
        <v>45995</v>
      </c>
      <c r="F525" s="1">
        <v>46001</v>
      </c>
      <c r="G525">
        <v>5</v>
      </c>
      <c r="H525">
        <v>858</v>
      </c>
      <c r="I525" t="s">
        <v>14</v>
      </c>
      <c r="J525" t="s">
        <v>549</v>
      </c>
      <c r="K525" t="s">
        <v>46</v>
      </c>
    </row>
    <row r="526" spans="1:11" x14ac:dyDescent="0.35">
      <c r="A526">
        <v>524</v>
      </c>
      <c r="B526" t="s">
        <v>92</v>
      </c>
      <c r="C526" t="s">
        <v>17</v>
      </c>
      <c r="D526" t="s">
        <v>56</v>
      </c>
      <c r="E526">
        <v>45905</v>
      </c>
      <c r="F526" s="1">
        <v>45915</v>
      </c>
      <c r="G526">
        <v>6</v>
      </c>
      <c r="H526">
        <v>914</v>
      </c>
      <c r="I526" t="s">
        <v>14</v>
      </c>
      <c r="J526" t="s">
        <v>551</v>
      </c>
      <c r="K526" t="s">
        <v>46</v>
      </c>
    </row>
    <row r="527" spans="1:11" x14ac:dyDescent="0.35">
      <c r="A527">
        <v>525</v>
      </c>
      <c r="B527" t="s">
        <v>93</v>
      </c>
      <c r="C527" t="s">
        <v>12</v>
      </c>
      <c r="D527" t="s">
        <v>58</v>
      </c>
      <c r="E527">
        <v>45935</v>
      </c>
      <c r="F527" s="1">
        <v>45949</v>
      </c>
      <c r="G527">
        <v>5</v>
      </c>
      <c r="H527">
        <v>163</v>
      </c>
      <c r="I527" t="s">
        <v>28</v>
      </c>
      <c r="J527" t="s">
        <v>550</v>
      </c>
      <c r="K527" t="s">
        <v>15</v>
      </c>
    </row>
    <row r="528" spans="1:11" x14ac:dyDescent="0.35">
      <c r="A528">
        <v>526</v>
      </c>
      <c r="B528" t="s">
        <v>94</v>
      </c>
      <c r="C528" t="s">
        <v>24</v>
      </c>
      <c r="D528" t="s">
        <v>70</v>
      </c>
      <c r="E528">
        <v>45986</v>
      </c>
      <c r="F528" s="1">
        <v>45996</v>
      </c>
      <c r="G528">
        <v>9</v>
      </c>
      <c r="H528">
        <v>811</v>
      </c>
      <c r="I528" t="s">
        <v>28</v>
      </c>
      <c r="J528" t="s">
        <v>551</v>
      </c>
      <c r="K528" t="s">
        <v>29</v>
      </c>
    </row>
    <row r="529" spans="1:11" x14ac:dyDescent="0.35">
      <c r="A529">
        <v>527</v>
      </c>
      <c r="B529" t="s">
        <v>95</v>
      </c>
      <c r="C529" t="s">
        <v>24</v>
      </c>
      <c r="D529" t="s">
        <v>25</v>
      </c>
      <c r="E529">
        <v>45966</v>
      </c>
      <c r="F529" s="1">
        <v>45968</v>
      </c>
      <c r="G529">
        <v>9</v>
      </c>
      <c r="H529">
        <v>828</v>
      </c>
      <c r="I529" t="s">
        <v>14</v>
      </c>
      <c r="J529" t="s">
        <v>549</v>
      </c>
      <c r="K529" t="s">
        <v>19</v>
      </c>
    </row>
    <row r="530" spans="1:11" x14ac:dyDescent="0.35">
      <c r="A530">
        <v>528</v>
      </c>
      <c r="B530" t="s">
        <v>97</v>
      </c>
      <c r="C530" t="s">
        <v>31</v>
      </c>
      <c r="D530" t="s">
        <v>50</v>
      </c>
      <c r="E530">
        <v>45706</v>
      </c>
      <c r="F530" s="1">
        <v>45712</v>
      </c>
      <c r="G530">
        <v>8</v>
      </c>
      <c r="H530">
        <v>745</v>
      </c>
      <c r="I530" t="s">
        <v>28</v>
      </c>
      <c r="J530" t="s">
        <v>33</v>
      </c>
      <c r="K530" t="s">
        <v>29</v>
      </c>
    </row>
    <row r="531" spans="1:11" x14ac:dyDescent="0.35">
      <c r="A531">
        <v>529</v>
      </c>
      <c r="B531" t="s">
        <v>98</v>
      </c>
      <c r="C531" t="s">
        <v>17</v>
      </c>
      <c r="D531" t="s">
        <v>56</v>
      </c>
      <c r="E531">
        <v>45904</v>
      </c>
      <c r="F531" s="1">
        <v>45910</v>
      </c>
      <c r="G531">
        <v>7</v>
      </c>
      <c r="H531">
        <v>238</v>
      </c>
      <c r="I531" t="s">
        <v>14</v>
      </c>
      <c r="J531" t="s">
        <v>550</v>
      </c>
      <c r="K531" t="s">
        <v>15</v>
      </c>
    </row>
    <row r="532" spans="1:11" x14ac:dyDescent="0.35">
      <c r="A532">
        <v>530</v>
      </c>
      <c r="B532" t="s">
        <v>99</v>
      </c>
      <c r="C532" t="s">
        <v>12</v>
      </c>
      <c r="D532" t="s">
        <v>13</v>
      </c>
      <c r="E532">
        <v>46003</v>
      </c>
      <c r="F532" s="1">
        <v>46013</v>
      </c>
      <c r="G532">
        <v>1</v>
      </c>
      <c r="H532">
        <v>159</v>
      </c>
      <c r="I532" t="s">
        <v>14</v>
      </c>
      <c r="J532" t="s">
        <v>550</v>
      </c>
      <c r="K532" t="s">
        <v>15</v>
      </c>
    </row>
    <row r="533" spans="1:11" x14ac:dyDescent="0.35">
      <c r="A533">
        <v>531</v>
      </c>
      <c r="B533" t="s">
        <v>101</v>
      </c>
      <c r="C533" t="s">
        <v>24</v>
      </c>
      <c r="D533" t="s">
        <v>70</v>
      </c>
      <c r="E533">
        <v>45793</v>
      </c>
      <c r="F533" s="1">
        <v>45797</v>
      </c>
      <c r="G533">
        <v>10</v>
      </c>
      <c r="H533">
        <v>102</v>
      </c>
      <c r="I533" t="s">
        <v>28</v>
      </c>
      <c r="J533" t="s">
        <v>550</v>
      </c>
      <c r="K533" t="s">
        <v>29</v>
      </c>
    </row>
    <row r="534" spans="1:11" x14ac:dyDescent="0.35">
      <c r="A534">
        <v>532</v>
      </c>
      <c r="B534" t="s">
        <v>102</v>
      </c>
      <c r="C534" t="s">
        <v>24</v>
      </c>
      <c r="D534" t="s">
        <v>25</v>
      </c>
      <c r="E534">
        <v>45997</v>
      </c>
      <c r="F534" s="1">
        <v>45998</v>
      </c>
      <c r="G534">
        <v>2</v>
      </c>
      <c r="H534">
        <v>443</v>
      </c>
      <c r="I534" t="s">
        <v>14</v>
      </c>
      <c r="J534" t="s">
        <v>547</v>
      </c>
      <c r="K534" t="s">
        <v>46</v>
      </c>
    </row>
    <row r="535" spans="1:11" x14ac:dyDescent="0.35">
      <c r="A535">
        <v>533</v>
      </c>
      <c r="B535" t="s">
        <v>103</v>
      </c>
      <c r="C535" t="s">
        <v>24</v>
      </c>
      <c r="D535" t="s">
        <v>38</v>
      </c>
      <c r="E535">
        <v>45711</v>
      </c>
      <c r="F535" s="1">
        <v>45714</v>
      </c>
      <c r="G535">
        <v>9</v>
      </c>
      <c r="H535">
        <v>10</v>
      </c>
      <c r="I535" t="s">
        <v>14</v>
      </c>
      <c r="J535" t="s">
        <v>551</v>
      </c>
      <c r="K535" t="s">
        <v>46</v>
      </c>
    </row>
    <row r="536" spans="1:11" x14ac:dyDescent="0.35">
      <c r="A536">
        <v>534</v>
      </c>
      <c r="B536" t="s">
        <v>104</v>
      </c>
      <c r="C536" t="s">
        <v>31</v>
      </c>
      <c r="D536" t="s">
        <v>32</v>
      </c>
      <c r="E536">
        <v>45942</v>
      </c>
      <c r="F536" s="1">
        <v>45955</v>
      </c>
      <c r="G536">
        <v>5</v>
      </c>
      <c r="H536">
        <v>758</v>
      </c>
      <c r="I536" t="s">
        <v>28</v>
      </c>
      <c r="J536" t="s">
        <v>551</v>
      </c>
      <c r="K536" t="s">
        <v>19</v>
      </c>
    </row>
    <row r="537" spans="1:11" x14ac:dyDescent="0.35">
      <c r="A537">
        <v>535</v>
      </c>
      <c r="B537" t="s">
        <v>105</v>
      </c>
      <c r="C537" t="s">
        <v>12</v>
      </c>
      <c r="D537" t="s">
        <v>13</v>
      </c>
      <c r="E537">
        <v>45896</v>
      </c>
      <c r="F537" s="1">
        <v>45897</v>
      </c>
      <c r="G537">
        <v>10</v>
      </c>
      <c r="H537">
        <v>541</v>
      </c>
      <c r="I537" t="s">
        <v>14</v>
      </c>
      <c r="J537" t="s">
        <v>549</v>
      </c>
      <c r="K537" t="s">
        <v>15</v>
      </c>
    </row>
    <row r="538" spans="1:11" x14ac:dyDescent="0.35">
      <c r="A538">
        <v>536</v>
      </c>
      <c r="B538" t="s">
        <v>106</v>
      </c>
      <c r="C538" t="s">
        <v>31</v>
      </c>
      <c r="D538" t="s">
        <v>50</v>
      </c>
      <c r="E538">
        <v>45890</v>
      </c>
      <c r="F538" s="1">
        <v>45891</v>
      </c>
      <c r="G538">
        <v>1</v>
      </c>
      <c r="H538">
        <v>46</v>
      </c>
      <c r="I538" t="s">
        <v>14</v>
      </c>
      <c r="J538" t="s">
        <v>549</v>
      </c>
      <c r="K538" t="s">
        <v>29</v>
      </c>
    </row>
    <row r="539" spans="1:11" x14ac:dyDescent="0.35">
      <c r="A539">
        <v>537</v>
      </c>
      <c r="B539" t="s">
        <v>107</v>
      </c>
      <c r="C539" t="s">
        <v>31</v>
      </c>
      <c r="D539" t="s">
        <v>42</v>
      </c>
      <c r="E539">
        <v>45857</v>
      </c>
      <c r="F539" s="1">
        <v>45863</v>
      </c>
      <c r="G539">
        <v>4</v>
      </c>
      <c r="H539">
        <v>82</v>
      </c>
      <c r="I539" t="s">
        <v>28</v>
      </c>
      <c r="J539" t="s">
        <v>550</v>
      </c>
      <c r="K539" t="s">
        <v>15</v>
      </c>
    </row>
    <row r="540" spans="1:11" x14ac:dyDescent="0.35">
      <c r="A540">
        <v>538</v>
      </c>
      <c r="B540" t="s">
        <v>531</v>
      </c>
      <c r="C540" t="s">
        <v>24</v>
      </c>
      <c r="D540" t="s">
        <v>25</v>
      </c>
      <c r="E540">
        <v>46008</v>
      </c>
      <c r="F540" s="1">
        <v>46014</v>
      </c>
      <c r="G540">
        <v>9</v>
      </c>
      <c r="H540">
        <v>891</v>
      </c>
      <c r="I540" t="s">
        <v>28</v>
      </c>
      <c r="J540" t="s">
        <v>550</v>
      </c>
      <c r="K540" t="s">
        <v>29</v>
      </c>
    </row>
    <row r="541" spans="1:11" x14ac:dyDescent="0.35">
      <c r="A541">
        <v>539</v>
      </c>
      <c r="B541" t="s">
        <v>532</v>
      </c>
      <c r="C541" t="s">
        <v>17</v>
      </c>
      <c r="D541" t="s">
        <v>64</v>
      </c>
      <c r="E541">
        <v>45779</v>
      </c>
      <c r="F541" s="1">
        <v>45781</v>
      </c>
      <c r="G541">
        <v>4</v>
      </c>
      <c r="H541">
        <v>578</v>
      </c>
      <c r="I541" t="s">
        <v>14</v>
      </c>
      <c r="J541" t="s">
        <v>551</v>
      </c>
      <c r="K541" t="s">
        <v>46</v>
      </c>
    </row>
    <row r="542" spans="1:11" x14ac:dyDescent="0.35">
      <c r="A542">
        <v>540</v>
      </c>
      <c r="B542" t="s">
        <v>533</v>
      </c>
      <c r="C542" t="s">
        <v>12</v>
      </c>
      <c r="D542" t="s">
        <v>36</v>
      </c>
      <c r="E542">
        <v>45763</v>
      </c>
      <c r="F542" s="1">
        <v>45767</v>
      </c>
      <c r="G542">
        <v>4</v>
      </c>
      <c r="H542">
        <v>152</v>
      </c>
      <c r="I542" t="s">
        <v>28</v>
      </c>
      <c r="J542" t="s">
        <v>550</v>
      </c>
      <c r="K542" t="s">
        <v>46</v>
      </c>
    </row>
    <row r="543" spans="1:11" x14ac:dyDescent="0.35">
      <c r="A543">
        <v>541</v>
      </c>
      <c r="B543" t="s">
        <v>534</v>
      </c>
      <c r="C543" t="s">
        <v>21</v>
      </c>
      <c r="D543" t="s">
        <v>54</v>
      </c>
      <c r="E543">
        <v>45698</v>
      </c>
      <c r="F543" s="1">
        <v>45699</v>
      </c>
      <c r="G543">
        <v>3</v>
      </c>
      <c r="H543">
        <v>288</v>
      </c>
      <c r="I543" t="s">
        <v>14</v>
      </c>
      <c r="J543" t="s">
        <v>551</v>
      </c>
      <c r="K543" t="s">
        <v>46</v>
      </c>
    </row>
    <row r="544" spans="1:11" x14ac:dyDescent="0.35">
      <c r="A544">
        <v>542</v>
      </c>
      <c r="B544" t="s">
        <v>535</v>
      </c>
      <c r="C544" t="s">
        <v>24</v>
      </c>
      <c r="D544" t="s">
        <v>25</v>
      </c>
      <c r="E544">
        <v>45986</v>
      </c>
      <c r="F544" s="1">
        <v>45994</v>
      </c>
      <c r="G544">
        <v>1</v>
      </c>
      <c r="H544">
        <v>321</v>
      </c>
      <c r="I544" t="s">
        <v>14</v>
      </c>
      <c r="J544" t="s">
        <v>549</v>
      </c>
      <c r="K544" t="s">
        <v>15</v>
      </c>
    </row>
    <row r="545" spans="1:11" x14ac:dyDescent="0.35">
      <c r="A545">
        <v>543</v>
      </c>
      <c r="B545" t="s">
        <v>536</v>
      </c>
      <c r="C545" t="s">
        <v>31</v>
      </c>
      <c r="D545" t="s">
        <v>50</v>
      </c>
      <c r="E545">
        <v>45749</v>
      </c>
      <c r="F545" s="1">
        <v>45759</v>
      </c>
      <c r="G545">
        <v>7</v>
      </c>
      <c r="H545">
        <v>356</v>
      </c>
      <c r="I545" t="s">
        <v>14</v>
      </c>
      <c r="J545" t="s">
        <v>549</v>
      </c>
      <c r="K545" t="s">
        <v>19</v>
      </c>
    </row>
    <row r="546" spans="1:11" x14ac:dyDescent="0.35">
      <c r="A546">
        <v>544</v>
      </c>
      <c r="B546" t="s">
        <v>537</v>
      </c>
      <c r="C546" t="s">
        <v>12</v>
      </c>
      <c r="D546" t="s">
        <v>36</v>
      </c>
      <c r="E546">
        <v>45726</v>
      </c>
      <c r="F546" s="1">
        <v>45737</v>
      </c>
      <c r="G546">
        <v>2</v>
      </c>
      <c r="H546">
        <v>944</v>
      </c>
      <c r="I546" t="s">
        <v>28</v>
      </c>
      <c r="J546" t="s">
        <v>550</v>
      </c>
      <c r="K546" t="s">
        <v>19</v>
      </c>
    </row>
    <row r="547" spans="1:11" x14ac:dyDescent="0.35">
      <c r="A547">
        <v>545</v>
      </c>
      <c r="B547" t="s">
        <v>538</v>
      </c>
      <c r="C547" t="s">
        <v>31</v>
      </c>
      <c r="D547" t="s">
        <v>76</v>
      </c>
      <c r="E547">
        <v>46008</v>
      </c>
      <c r="F547" s="1">
        <v>46018</v>
      </c>
      <c r="G547">
        <v>10</v>
      </c>
      <c r="H547">
        <v>172</v>
      </c>
      <c r="I547" t="s">
        <v>14</v>
      </c>
      <c r="J547" t="s">
        <v>33</v>
      </c>
      <c r="K547" t="s">
        <v>19</v>
      </c>
    </row>
    <row r="548" spans="1:11" x14ac:dyDescent="0.35">
      <c r="A548">
        <v>546</v>
      </c>
      <c r="B548" t="s">
        <v>539</v>
      </c>
      <c r="C548" t="s">
        <v>21</v>
      </c>
      <c r="D548" t="s">
        <v>22</v>
      </c>
      <c r="E548">
        <v>45883</v>
      </c>
      <c r="F548" s="1">
        <v>45885</v>
      </c>
      <c r="G548">
        <v>7</v>
      </c>
      <c r="H548">
        <v>70</v>
      </c>
      <c r="I548" t="s">
        <v>14</v>
      </c>
      <c r="J548" t="s">
        <v>547</v>
      </c>
      <c r="K548" t="s">
        <v>46</v>
      </c>
    </row>
    <row r="549" spans="1:11" x14ac:dyDescent="0.35">
      <c r="A549">
        <v>547</v>
      </c>
      <c r="B549" t="s">
        <v>540</v>
      </c>
      <c r="C549" t="s">
        <v>12</v>
      </c>
      <c r="D549" t="s">
        <v>36</v>
      </c>
      <c r="E549">
        <v>45919</v>
      </c>
      <c r="F549" s="1">
        <v>45922</v>
      </c>
      <c r="G549">
        <v>2</v>
      </c>
      <c r="H549">
        <v>722</v>
      </c>
      <c r="I549" t="s">
        <v>14</v>
      </c>
      <c r="J549" t="s">
        <v>550</v>
      </c>
      <c r="K549" t="s">
        <v>46</v>
      </c>
    </row>
    <row r="550" spans="1:11" x14ac:dyDescent="0.35">
      <c r="A550">
        <v>548</v>
      </c>
      <c r="B550" t="s">
        <v>541</v>
      </c>
      <c r="C550" t="s">
        <v>24</v>
      </c>
      <c r="D550" t="s">
        <v>70</v>
      </c>
      <c r="E550">
        <v>46002</v>
      </c>
      <c r="F550" s="1">
        <v>46010</v>
      </c>
      <c r="G550">
        <v>2</v>
      </c>
      <c r="H550">
        <v>876</v>
      </c>
      <c r="I550" t="s">
        <v>28</v>
      </c>
      <c r="J550" t="s">
        <v>547</v>
      </c>
      <c r="K550" t="s">
        <v>15</v>
      </c>
    </row>
    <row r="551" spans="1:11" x14ac:dyDescent="0.35">
      <c r="A551">
        <v>549</v>
      </c>
      <c r="B551" t="s">
        <v>107</v>
      </c>
      <c r="C551" t="s">
        <v>21</v>
      </c>
      <c r="D551" t="s">
        <v>22</v>
      </c>
      <c r="E551">
        <v>45787</v>
      </c>
      <c r="F551" s="1">
        <v>45794</v>
      </c>
      <c r="G551">
        <v>8</v>
      </c>
      <c r="H551">
        <v>281</v>
      </c>
      <c r="I551" t="s">
        <v>14</v>
      </c>
      <c r="J551" t="s">
        <v>33</v>
      </c>
      <c r="K551" t="s">
        <v>29</v>
      </c>
    </row>
    <row r="552" spans="1:11" x14ac:dyDescent="0.35">
      <c r="A552">
        <v>550</v>
      </c>
      <c r="B552" t="s">
        <v>542</v>
      </c>
      <c r="C552" t="s">
        <v>12</v>
      </c>
      <c r="D552" t="s">
        <v>27</v>
      </c>
      <c r="E552">
        <v>45757</v>
      </c>
      <c r="F552" s="1">
        <v>45764</v>
      </c>
      <c r="G552">
        <v>7</v>
      </c>
      <c r="H552">
        <v>390</v>
      </c>
      <c r="I552" t="s">
        <v>28</v>
      </c>
      <c r="J552" t="s">
        <v>547</v>
      </c>
      <c r="K552" t="s">
        <v>46</v>
      </c>
    </row>
    <row r="553" spans="1:11" x14ac:dyDescent="0.35">
      <c r="A553">
        <v>551</v>
      </c>
      <c r="B553" t="s">
        <v>543</v>
      </c>
      <c r="C553" t="s">
        <v>31</v>
      </c>
      <c r="D553" t="s">
        <v>76</v>
      </c>
      <c r="E553">
        <v>45934</v>
      </c>
      <c r="F553" s="1">
        <v>45940</v>
      </c>
      <c r="G553">
        <v>5</v>
      </c>
      <c r="H553">
        <v>953</v>
      </c>
      <c r="I553" t="s">
        <v>14</v>
      </c>
      <c r="J553" t="s">
        <v>549</v>
      </c>
      <c r="K553" t="s">
        <v>29</v>
      </c>
    </row>
    <row r="554" spans="1:11" x14ac:dyDescent="0.35">
      <c r="A554">
        <v>552</v>
      </c>
      <c r="B554" t="s">
        <v>544</v>
      </c>
      <c r="C554" t="s">
        <v>31</v>
      </c>
      <c r="D554" t="s">
        <v>42</v>
      </c>
      <c r="E554">
        <v>45666</v>
      </c>
      <c r="F554" s="1">
        <v>45678</v>
      </c>
      <c r="G554">
        <v>6</v>
      </c>
      <c r="H554">
        <v>323</v>
      </c>
      <c r="I554" t="s">
        <v>28</v>
      </c>
      <c r="J554" t="s">
        <v>547</v>
      </c>
      <c r="K554" t="s">
        <v>15</v>
      </c>
    </row>
    <row r="555" spans="1:11" x14ac:dyDescent="0.35">
      <c r="A555">
        <v>553</v>
      </c>
      <c r="B555" t="s">
        <v>545</v>
      </c>
      <c r="C555" t="s">
        <v>31</v>
      </c>
      <c r="D555" t="s">
        <v>50</v>
      </c>
      <c r="E555">
        <v>45713</v>
      </c>
      <c r="F555" s="1">
        <v>45717</v>
      </c>
      <c r="G555">
        <v>3</v>
      </c>
      <c r="H555">
        <v>380</v>
      </c>
      <c r="I555" t="s">
        <v>14</v>
      </c>
      <c r="J555" t="s">
        <v>549</v>
      </c>
      <c r="K555" t="s">
        <v>46</v>
      </c>
    </row>
    <row r="556" spans="1:11" x14ac:dyDescent="0.35">
      <c r="A556">
        <v>554</v>
      </c>
      <c r="B556" t="s">
        <v>546</v>
      </c>
      <c r="C556" t="s">
        <v>17</v>
      </c>
      <c r="D556" t="s">
        <v>18</v>
      </c>
      <c r="E556">
        <v>45897</v>
      </c>
      <c r="F556" s="1">
        <v>45905</v>
      </c>
      <c r="G556">
        <v>10</v>
      </c>
      <c r="H556">
        <v>509</v>
      </c>
      <c r="I556" t="s">
        <v>28</v>
      </c>
      <c r="J556" t="s">
        <v>547</v>
      </c>
      <c r="K556" t="s">
        <v>15</v>
      </c>
    </row>
    <row r="557" spans="1:11" x14ac:dyDescent="0.35">
      <c r="A557">
        <v>555</v>
      </c>
      <c r="B557" t="s">
        <v>126</v>
      </c>
      <c r="C557" t="s">
        <v>24</v>
      </c>
      <c r="D557" t="s">
        <v>25</v>
      </c>
      <c r="E557">
        <v>45743</v>
      </c>
      <c r="F557" s="1">
        <v>45748</v>
      </c>
      <c r="G557">
        <v>1</v>
      </c>
      <c r="H557">
        <v>968</v>
      </c>
      <c r="I557" t="s">
        <v>14</v>
      </c>
      <c r="J557" t="s">
        <v>33</v>
      </c>
      <c r="K557"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58386-4AFF-4A52-A7BE-C3B285508C1D}">
  <dimension ref="A1:U556"/>
  <sheetViews>
    <sheetView topLeftCell="C519" zoomScale="70" zoomScaleNormal="70" workbookViewId="0">
      <selection activeCell="F8" sqref="F8"/>
    </sheetView>
  </sheetViews>
  <sheetFormatPr defaultRowHeight="14.5" x14ac:dyDescent="0.35"/>
  <cols>
    <col min="1" max="1" width="10.90625" bestFit="1" customWidth="1"/>
    <col min="2" max="2" width="22.81640625" bestFit="1" customWidth="1"/>
    <col min="3" max="3" width="18" bestFit="1" customWidth="1"/>
    <col min="4" max="4" width="15.6328125" bestFit="1" customWidth="1"/>
    <col min="5" max="5" width="12.90625" style="9" bestFit="1" customWidth="1"/>
    <col min="6" max="6" width="16.36328125" style="9" bestFit="1" customWidth="1"/>
    <col min="7" max="7" width="9.453125" style="4" bestFit="1" customWidth="1"/>
    <col min="8" max="8" width="25.26953125" style="16" bestFit="1" customWidth="1"/>
    <col min="9" max="9" width="7.08984375" bestFit="1" customWidth="1"/>
    <col min="10" max="10" width="17" bestFit="1" customWidth="1"/>
    <col min="11" max="11" width="13.08984375" bestFit="1" customWidth="1"/>
    <col min="12" max="12" width="12.26953125" style="3" bestFit="1" customWidth="1"/>
    <col min="13" max="13" width="8.6328125" bestFit="1" customWidth="1"/>
    <col min="14" max="14" width="9.7265625" bestFit="1" customWidth="1"/>
    <col min="15" max="15" width="11.08984375" style="6" bestFit="1" customWidth="1"/>
    <col min="16" max="16" width="15.453125" style="3" bestFit="1" customWidth="1"/>
    <col min="17" max="17" width="9.90625" style="3" bestFit="1" customWidth="1"/>
    <col min="18" max="18" width="14.1796875" bestFit="1" customWidth="1"/>
    <col min="19" max="19" width="18.26953125" style="3" bestFit="1" customWidth="1"/>
    <col min="20" max="20" width="14.1796875" bestFit="1" customWidth="1"/>
    <col min="21" max="21" width="1.26953125" bestFit="1" customWidth="1"/>
    <col min="22" max="22" width="18.26953125" bestFit="1" customWidth="1"/>
    <col min="23" max="23" width="12.6328125" customWidth="1"/>
  </cols>
  <sheetData>
    <row r="1" spans="1:19" x14ac:dyDescent="0.35">
      <c r="A1" t="s">
        <v>0</v>
      </c>
      <c r="B1" t="s">
        <v>1</v>
      </c>
      <c r="C1" t="s">
        <v>2</v>
      </c>
      <c r="D1" t="s">
        <v>3</v>
      </c>
      <c r="E1" s="9" t="s">
        <v>4</v>
      </c>
      <c r="F1" s="9" t="s">
        <v>5</v>
      </c>
      <c r="G1" s="4" t="s">
        <v>568</v>
      </c>
      <c r="H1" s="16" t="s">
        <v>583</v>
      </c>
      <c r="I1" t="s">
        <v>570</v>
      </c>
      <c r="J1" s="4" t="s">
        <v>556</v>
      </c>
      <c r="K1" s="3" t="s">
        <v>7</v>
      </c>
      <c r="L1" s="3" t="s">
        <v>555</v>
      </c>
      <c r="M1" s="3" t="s">
        <v>557</v>
      </c>
      <c r="N1" s="3" t="s">
        <v>558</v>
      </c>
      <c r="O1" t="s">
        <v>6</v>
      </c>
      <c r="P1" s="6" t="s">
        <v>564</v>
      </c>
      <c r="Q1" t="s">
        <v>8</v>
      </c>
      <c r="R1" t="s">
        <v>9</v>
      </c>
      <c r="S1" t="s">
        <v>10</v>
      </c>
    </row>
    <row r="2" spans="1:19" x14ac:dyDescent="0.35">
      <c r="A2">
        <v>25</v>
      </c>
      <c r="B2" t="s">
        <v>63</v>
      </c>
      <c r="C2" t="s">
        <v>17</v>
      </c>
      <c r="D2" t="s">
        <v>64</v>
      </c>
      <c r="E2" s="9">
        <v>45295</v>
      </c>
      <c r="F2" s="9">
        <v>45306</v>
      </c>
      <c r="G2" s="4" t="str">
        <f>TEXT(Work[[#This Row],[Delivered Date]],"mmm")</f>
        <v>Jan</v>
      </c>
      <c r="H2" s="16">
        <f>MONTH(Work[[#This Row],[Delivered Date]])</f>
        <v>1</v>
      </c>
      <c r="I2" s="1" t="str">
        <f>TEXT(Work[[#This Row],[Delivered Date]],"ddd")</f>
        <v>Mon</v>
      </c>
      <c r="J2" s="4">
        <f>_xlfn.XLOOKUP(Work[[#This Row],[Product Name]],Cost[Product Name],Cost[Cost Percentage],"NA")</f>
        <v>0.5</v>
      </c>
      <c r="K2" s="3">
        <v>734</v>
      </c>
      <c r="L2" s="3">
        <f>Work[[#This Row],[Unit Price]]*Work[[#This Row],[Quantity]]</f>
        <v>1468</v>
      </c>
      <c r="M2" s="3">
        <f>Work[[#This Row],[Revenue]]*Work[[#This Row],[cost percentage]]</f>
        <v>734</v>
      </c>
      <c r="N2" s="3">
        <f>Work[[#This Row],[Revenue]]-Work[[#This Row],[Cost]]</f>
        <v>734</v>
      </c>
      <c r="O2">
        <v>2</v>
      </c>
      <c r="P2" s="6">
        <f>Work[[#This Row],[Delivered Date]]-Work[[#This Row],[Order Date]]</f>
        <v>11</v>
      </c>
      <c r="Q2" t="s">
        <v>14</v>
      </c>
      <c r="R2" t="s">
        <v>33</v>
      </c>
      <c r="S2" t="s">
        <v>46</v>
      </c>
    </row>
    <row r="3" spans="1:19" x14ac:dyDescent="0.35">
      <c r="A3">
        <v>35</v>
      </c>
      <c r="B3" t="s">
        <v>75</v>
      </c>
      <c r="C3" t="s">
        <v>31</v>
      </c>
      <c r="D3" t="s">
        <v>76</v>
      </c>
      <c r="E3" s="9">
        <v>45296</v>
      </c>
      <c r="F3" s="9">
        <v>45301</v>
      </c>
      <c r="G3" s="4" t="str">
        <f>TEXT(Work[[#This Row],[Delivered Date]],"mmm")</f>
        <v>Jan</v>
      </c>
      <c r="H3" s="16">
        <f>MONTH(Work[[#This Row],[Delivered Date]])</f>
        <v>1</v>
      </c>
      <c r="I3" s="1" t="str">
        <f>TEXT(Work[[#This Row],[Delivered Date]],"ddd")</f>
        <v>Wed</v>
      </c>
      <c r="J3" s="4">
        <f>_xlfn.XLOOKUP(Work[[#This Row],[Product Name]],Cost[Product Name],Cost[Cost Percentage],"NA")</f>
        <v>0.75</v>
      </c>
      <c r="K3" s="3">
        <v>646</v>
      </c>
      <c r="L3" s="3">
        <f>Work[[#This Row],[Unit Price]]*Work[[#This Row],[Quantity]]</f>
        <v>5168</v>
      </c>
      <c r="M3" s="3">
        <f>Work[[#This Row],[Revenue]]*Work[[#This Row],[cost percentage]]</f>
        <v>3876</v>
      </c>
      <c r="N3" s="3">
        <f>Work[[#This Row],[Revenue]]-Work[[#This Row],[Cost]]</f>
        <v>1292</v>
      </c>
      <c r="O3">
        <v>8</v>
      </c>
      <c r="P3" s="6">
        <f>Work[[#This Row],[Delivered Date]]-Work[[#This Row],[Order Date]]</f>
        <v>5</v>
      </c>
      <c r="Q3" t="s">
        <v>14</v>
      </c>
      <c r="R3" t="s">
        <v>33</v>
      </c>
      <c r="S3" t="s">
        <v>46</v>
      </c>
    </row>
    <row r="4" spans="1:19" x14ac:dyDescent="0.35">
      <c r="A4">
        <v>47</v>
      </c>
      <c r="B4" t="s">
        <v>90</v>
      </c>
      <c r="C4" t="s">
        <v>17</v>
      </c>
      <c r="D4" t="s">
        <v>56</v>
      </c>
      <c r="E4" s="9">
        <v>45306</v>
      </c>
      <c r="F4" s="9">
        <v>45309</v>
      </c>
      <c r="G4" s="4" t="str">
        <f>TEXT(Work[[#This Row],[Delivered Date]],"mmm")</f>
        <v>Jan</v>
      </c>
      <c r="H4" s="16">
        <f>MONTH(Work[[#This Row],[Delivered Date]])</f>
        <v>1</v>
      </c>
      <c r="I4" s="1" t="str">
        <f>TEXT(Work[[#This Row],[Delivered Date]],"ddd")</f>
        <v>Thu</v>
      </c>
      <c r="J4" s="4">
        <f>_xlfn.XLOOKUP(Work[[#This Row],[Product Name]],Cost[Product Name],Cost[Cost Percentage],"NA")</f>
        <v>0.55000000000000004</v>
      </c>
      <c r="K4" s="3">
        <v>908</v>
      </c>
      <c r="L4" s="3">
        <f>Work[[#This Row],[Unit Price]]*Work[[#This Row],[Quantity]]</f>
        <v>1816</v>
      </c>
      <c r="M4" s="3">
        <f>Work[[#This Row],[Revenue]]*Work[[#This Row],[cost percentage]]</f>
        <v>998.80000000000007</v>
      </c>
      <c r="N4" s="3">
        <f>Work[[#This Row],[Revenue]]-Work[[#This Row],[Cost]]</f>
        <v>817.19999999999993</v>
      </c>
      <c r="O4">
        <v>2</v>
      </c>
      <c r="P4" s="6">
        <f>Work[[#This Row],[Delivered Date]]-Work[[#This Row],[Order Date]]</f>
        <v>3</v>
      </c>
      <c r="Q4" t="s">
        <v>28</v>
      </c>
      <c r="R4" t="s">
        <v>547</v>
      </c>
      <c r="S4" t="s">
        <v>46</v>
      </c>
    </row>
    <row r="5" spans="1:19" x14ac:dyDescent="0.35">
      <c r="A5">
        <v>48</v>
      </c>
      <c r="B5" t="s">
        <v>91</v>
      </c>
      <c r="C5" t="s">
        <v>12</v>
      </c>
      <c r="D5" t="s">
        <v>27</v>
      </c>
      <c r="E5" s="9">
        <v>45292</v>
      </c>
      <c r="F5" s="9">
        <v>45306</v>
      </c>
      <c r="G5" s="4" t="str">
        <f>TEXT(Work[[#This Row],[Delivered Date]],"mmm")</f>
        <v>Jan</v>
      </c>
      <c r="H5" s="16">
        <f>MONTH(Work[[#This Row],[Delivered Date]])</f>
        <v>1</v>
      </c>
      <c r="I5" s="1" t="str">
        <f>TEXT(Work[[#This Row],[Delivered Date]],"ddd")</f>
        <v>Mon</v>
      </c>
      <c r="J5" s="4">
        <f>_xlfn.XLOOKUP(Work[[#This Row],[Product Name]],Cost[Product Name],Cost[Cost Percentage],"NA")</f>
        <v>0.65</v>
      </c>
      <c r="K5" s="3">
        <v>957</v>
      </c>
      <c r="L5" s="3">
        <f>Work[[#This Row],[Unit Price]]*Work[[#This Row],[Quantity]]</f>
        <v>8613</v>
      </c>
      <c r="M5" s="3">
        <f>Work[[#This Row],[Revenue]]*Work[[#This Row],[cost percentage]]</f>
        <v>5598.45</v>
      </c>
      <c r="N5" s="3">
        <f>Work[[#This Row],[Revenue]]-Work[[#This Row],[Cost]]</f>
        <v>3014.55</v>
      </c>
      <c r="O5">
        <v>9</v>
      </c>
      <c r="P5" s="6">
        <f>Work[[#This Row],[Delivered Date]]-Work[[#This Row],[Order Date]]</f>
        <v>14</v>
      </c>
      <c r="Q5" t="s">
        <v>28</v>
      </c>
      <c r="R5" t="s">
        <v>549</v>
      </c>
      <c r="S5" t="s">
        <v>46</v>
      </c>
    </row>
    <row r="6" spans="1:19" x14ac:dyDescent="0.35">
      <c r="A6">
        <v>62</v>
      </c>
      <c r="B6" t="s">
        <v>107</v>
      </c>
      <c r="C6" t="s">
        <v>12</v>
      </c>
      <c r="D6" t="s">
        <v>27</v>
      </c>
      <c r="E6" s="9">
        <v>45301</v>
      </c>
      <c r="F6" s="9">
        <v>45305</v>
      </c>
      <c r="G6" s="4" t="str">
        <f>TEXT(Work[[#This Row],[Delivered Date]],"mmm")</f>
        <v>Jan</v>
      </c>
      <c r="H6" s="16">
        <f>MONTH(Work[[#This Row],[Delivered Date]])</f>
        <v>1</v>
      </c>
      <c r="I6" s="1" t="str">
        <f>TEXT(Work[[#This Row],[Delivered Date]],"ddd")</f>
        <v>Sun</v>
      </c>
      <c r="J6" s="4">
        <f>_xlfn.XLOOKUP(Work[[#This Row],[Product Name]],Cost[Product Name],Cost[Cost Percentage],"NA")</f>
        <v>0.65</v>
      </c>
      <c r="K6" s="3">
        <v>63</v>
      </c>
      <c r="L6" s="3">
        <f>Work[[#This Row],[Unit Price]]*Work[[#This Row],[Quantity]]</f>
        <v>567</v>
      </c>
      <c r="M6" s="3">
        <f>Work[[#This Row],[Revenue]]*Work[[#This Row],[cost percentage]]</f>
        <v>368.55</v>
      </c>
      <c r="N6" s="3">
        <f>Work[[#This Row],[Revenue]]-Work[[#This Row],[Cost]]</f>
        <v>198.45</v>
      </c>
      <c r="O6">
        <v>9</v>
      </c>
      <c r="P6" s="6">
        <f>Work[[#This Row],[Delivered Date]]-Work[[#This Row],[Order Date]]</f>
        <v>4</v>
      </c>
      <c r="Q6" t="s">
        <v>28</v>
      </c>
      <c r="R6" t="s">
        <v>547</v>
      </c>
      <c r="S6" t="s">
        <v>15</v>
      </c>
    </row>
    <row r="7" spans="1:19" x14ac:dyDescent="0.35">
      <c r="A7">
        <v>63</v>
      </c>
      <c r="B7" t="s">
        <v>108</v>
      </c>
      <c r="C7" t="s">
        <v>12</v>
      </c>
      <c r="D7" t="s">
        <v>13</v>
      </c>
      <c r="E7" s="9">
        <v>45307</v>
      </c>
      <c r="F7" s="9">
        <v>45320</v>
      </c>
      <c r="G7" s="4" t="str">
        <f>TEXT(Work[[#This Row],[Delivered Date]],"mmm")</f>
        <v>Jan</v>
      </c>
      <c r="H7" s="16">
        <f>MONTH(Work[[#This Row],[Delivered Date]])</f>
        <v>1</v>
      </c>
      <c r="I7" s="1" t="str">
        <f>TEXT(Work[[#This Row],[Delivered Date]],"ddd")</f>
        <v>Mon</v>
      </c>
      <c r="J7" s="4">
        <f>_xlfn.XLOOKUP(Work[[#This Row],[Product Name]],Cost[Product Name],Cost[Cost Percentage],"NA")</f>
        <v>0.75</v>
      </c>
      <c r="K7" s="3">
        <v>214</v>
      </c>
      <c r="L7" s="3">
        <f>Work[[#This Row],[Unit Price]]*Work[[#This Row],[Quantity]]</f>
        <v>856</v>
      </c>
      <c r="M7" s="3">
        <f>Work[[#This Row],[Revenue]]*Work[[#This Row],[cost percentage]]</f>
        <v>642</v>
      </c>
      <c r="N7" s="3">
        <f>Work[[#This Row],[Revenue]]-Work[[#This Row],[Cost]]</f>
        <v>214</v>
      </c>
      <c r="O7">
        <v>4</v>
      </c>
      <c r="P7" s="6">
        <f>Work[[#This Row],[Delivered Date]]-Work[[#This Row],[Order Date]]</f>
        <v>13</v>
      </c>
      <c r="Q7" t="s">
        <v>28</v>
      </c>
      <c r="R7" t="s">
        <v>549</v>
      </c>
      <c r="S7" t="s">
        <v>15</v>
      </c>
    </row>
    <row r="8" spans="1:19" x14ac:dyDescent="0.35">
      <c r="A8">
        <v>112</v>
      </c>
      <c r="B8" t="s">
        <v>158</v>
      </c>
      <c r="C8" t="s">
        <v>21</v>
      </c>
      <c r="D8" t="s">
        <v>52</v>
      </c>
      <c r="E8" s="9">
        <v>45302</v>
      </c>
      <c r="F8" s="9">
        <v>45308</v>
      </c>
      <c r="G8" s="4" t="str">
        <f>TEXT(Work[[#This Row],[Delivered Date]],"mmm")</f>
        <v>Jan</v>
      </c>
      <c r="H8" s="16">
        <f>MONTH(Work[[#This Row],[Delivered Date]])</f>
        <v>1</v>
      </c>
      <c r="I8" s="1" t="str">
        <f>TEXT(Work[[#This Row],[Delivered Date]],"ddd")</f>
        <v>Wed</v>
      </c>
      <c r="J8" s="4">
        <f>_xlfn.XLOOKUP(Work[[#This Row],[Product Name]],Cost[Product Name],Cost[Cost Percentage],"NA")</f>
        <v>0.7</v>
      </c>
      <c r="K8" s="3">
        <v>815</v>
      </c>
      <c r="L8" s="3">
        <f>Work[[#This Row],[Unit Price]]*Work[[#This Row],[Quantity]]</f>
        <v>815</v>
      </c>
      <c r="M8" s="3">
        <f>Work[[#This Row],[Revenue]]*Work[[#This Row],[cost percentage]]</f>
        <v>570.5</v>
      </c>
      <c r="N8" s="3">
        <f>Work[[#This Row],[Revenue]]-Work[[#This Row],[Cost]]</f>
        <v>244.5</v>
      </c>
      <c r="O8">
        <v>1</v>
      </c>
      <c r="P8" s="6">
        <f>Work[[#This Row],[Delivered Date]]-Work[[#This Row],[Order Date]]</f>
        <v>6</v>
      </c>
      <c r="Q8" t="s">
        <v>14</v>
      </c>
      <c r="R8" t="s">
        <v>547</v>
      </c>
      <c r="S8" t="s">
        <v>15</v>
      </c>
    </row>
    <row r="9" spans="1:19" x14ac:dyDescent="0.35">
      <c r="A9">
        <v>128</v>
      </c>
      <c r="B9" t="s">
        <v>174</v>
      </c>
      <c r="C9" t="s">
        <v>21</v>
      </c>
      <c r="D9" t="s">
        <v>83</v>
      </c>
      <c r="E9" s="9">
        <v>45651</v>
      </c>
      <c r="F9" s="9">
        <v>45660</v>
      </c>
      <c r="G9" s="4" t="str">
        <f>TEXT(Work[[#This Row],[Delivered Date]],"mmm")</f>
        <v>Jan</v>
      </c>
      <c r="H9" s="16">
        <f>MONTH(Work[[#This Row],[Delivered Date]])</f>
        <v>1</v>
      </c>
      <c r="I9" s="1" t="str">
        <f>TEXT(Work[[#This Row],[Delivered Date]],"ddd")</f>
        <v>Fri</v>
      </c>
      <c r="J9" s="4">
        <f>_xlfn.XLOOKUP(Work[[#This Row],[Product Name]],Cost[Product Name],Cost[Cost Percentage],"NA")</f>
        <v>0.8</v>
      </c>
      <c r="K9" s="3">
        <v>953</v>
      </c>
      <c r="L9" s="3">
        <f>Work[[#This Row],[Unit Price]]*Work[[#This Row],[Quantity]]</f>
        <v>4765</v>
      </c>
      <c r="M9" s="3">
        <f>Work[[#This Row],[Revenue]]*Work[[#This Row],[cost percentage]]</f>
        <v>3812</v>
      </c>
      <c r="N9" s="3">
        <f>Work[[#This Row],[Revenue]]-Work[[#This Row],[Cost]]</f>
        <v>953</v>
      </c>
      <c r="O9">
        <v>5</v>
      </c>
      <c r="P9" s="6">
        <f>Work[[#This Row],[Delivered Date]]-Work[[#This Row],[Order Date]]</f>
        <v>9</v>
      </c>
      <c r="Q9" t="s">
        <v>14</v>
      </c>
      <c r="R9" t="s">
        <v>547</v>
      </c>
      <c r="S9" t="s">
        <v>15</v>
      </c>
    </row>
    <row r="10" spans="1:19" x14ac:dyDescent="0.35">
      <c r="A10">
        <v>150</v>
      </c>
      <c r="B10" t="s">
        <v>196</v>
      </c>
      <c r="C10" t="s">
        <v>17</v>
      </c>
      <c r="D10" t="s">
        <v>60</v>
      </c>
      <c r="E10" s="9">
        <v>45311</v>
      </c>
      <c r="F10" s="9">
        <v>45316</v>
      </c>
      <c r="G10" s="4" t="str">
        <f>TEXT(Work[[#This Row],[Delivered Date]],"mmm")</f>
        <v>Jan</v>
      </c>
      <c r="H10" s="16">
        <f>MONTH(Work[[#This Row],[Delivered Date]])</f>
        <v>1</v>
      </c>
      <c r="I10" s="1" t="str">
        <f>TEXT(Work[[#This Row],[Delivered Date]],"ddd")</f>
        <v>Thu</v>
      </c>
      <c r="J10" s="4">
        <f>_xlfn.XLOOKUP(Work[[#This Row],[Product Name]],Cost[Product Name],Cost[Cost Percentage],"NA")</f>
        <v>0.65</v>
      </c>
      <c r="K10" s="3">
        <v>907</v>
      </c>
      <c r="L10" s="3">
        <f>Work[[#This Row],[Unit Price]]*Work[[#This Row],[Quantity]]</f>
        <v>5442</v>
      </c>
      <c r="M10" s="3">
        <f>Work[[#This Row],[Revenue]]*Work[[#This Row],[cost percentage]]</f>
        <v>3537.3</v>
      </c>
      <c r="N10" s="3">
        <f>Work[[#This Row],[Revenue]]-Work[[#This Row],[Cost]]</f>
        <v>1904.6999999999998</v>
      </c>
      <c r="O10">
        <v>6</v>
      </c>
      <c r="P10" s="6">
        <f>Work[[#This Row],[Delivered Date]]-Work[[#This Row],[Order Date]]</f>
        <v>5</v>
      </c>
      <c r="Q10" t="s">
        <v>14</v>
      </c>
      <c r="R10" t="s">
        <v>549</v>
      </c>
      <c r="S10" t="s">
        <v>15</v>
      </c>
    </row>
    <row r="11" spans="1:19" x14ac:dyDescent="0.35">
      <c r="A11">
        <v>192</v>
      </c>
      <c r="B11" t="s">
        <v>238</v>
      </c>
      <c r="C11" t="s">
        <v>12</v>
      </c>
      <c r="D11" t="s">
        <v>96</v>
      </c>
      <c r="E11" s="9">
        <v>45657</v>
      </c>
      <c r="F11" s="9">
        <v>45671</v>
      </c>
      <c r="G11" s="4" t="str">
        <f>TEXT(Work[[#This Row],[Delivered Date]],"mmm")</f>
        <v>Jan</v>
      </c>
      <c r="H11" s="16">
        <f>MONTH(Work[[#This Row],[Delivered Date]])</f>
        <v>1</v>
      </c>
      <c r="I11" s="1" t="str">
        <f>TEXT(Work[[#This Row],[Delivered Date]],"ddd")</f>
        <v>Tue</v>
      </c>
      <c r="J11" s="4">
        <f>_xlfn.XLOOKUP(Work[[#This Row],[Product Name]],Cost[Product Name],Cost[Cost Percentage],"NA")</f>
        <v>0.7</v>
      </c>
      <c r="K11" s="3">
        <v>364</v>
      </c>
      <c r="L11" s="3">
        <f>Work[[#This Row],[Unit Price]]*Work[[#This Row],[Quantity]]</f>
        <v>728</v>
      </c>
      <c r="M11" s="3">
        <f>Work[[#This Row],[Revenue]]*Work[[#This Row],[cost percentage]]</f>
        <v>509.59999999999997</v>
      </c>
      <c r="N11" s="3">
        <f>Work[[#This Row],[Revenue]]-Work[[#This Row],[Cost]]</f>
        <v>218.40000000000003</v>
      </c>
      <c r="O11">
        <v>2</v>
      </c>
      <c r="P11" s="6">
        <f>Work[[#This Row],[Delivered Date]]-Work[[#This Row],[Order Date]]</f>
        <v>14</v>
      </c>
      <c r="Q11" t="s">
        <v>28</v>
      </c>
      <c r="R11" t="s">
        <v>550</v>
      </c>
      <c r="S11" t="s">
        <v>29</v>
      </c>
    </row>
    <row r="12" spans="1:19" x14ac:dyDescent="0.35">
      <c r="A12">
        <v>213</v>
      </c>
      <c r="B12" t="s">
        <v>259</v>
      </c>
      <c r="C12" t="s">
        <v>21</v>
      </c>
      <c r="D12" t="s">
        <v>40</v>
      </c>
      <c r="E12" s="9">
        <v>45308</v>
      </c>
      <c r="F12" s="9">
        <v>45318</v>
      </c>
      <c r="G12" s="4" t="str">
        <f>TEXT(Work[[#This Row],[Delivered Date]],"mmm")</f>
        <v>Jan</v>
      </c>
      <c r="H12" s="16">
        <f>MONTH(Work[[#This Row],[Delivered Date]])</f>
        <v>1</v>
      </c>
      <c r="I12" s="1" t="str">
        <f>TEXT(Work[[#This Row],[Delivered Date]],"ddd")</f>
        <v>Sat</v>
      </c>
      <c r="J12" s="4">
        <f>_xlfn.XLOOKUP(Work[[#This Row],[Product Name]],Cost[Product Name],Cost[Cost Percentage],"NA")</f>
        <v>0.65</v>
      </c>
      <c r="K12" s="3">
        <v>639</v>
      </c>
      <c r="L12" s="3">
        <f>Work[[#This Row],[Unit Price]]*Work[[#This Row],[Quantity]]</f>
        <v>4473</v>
      </c>
      <c r="M12" s="3">
        <f>Work[[#This Row],[Revenue]]*Work[[#This Row],[cost percentage]]</f>
        <v>2907.4500000000003</v>
      </c>
      <c r="N12" s="3">
        <f>Work[[#This Row],[Revenue]]-Work[[#This Row],[Cost]]</f>
        <v>1565.5499999999997</v>
      </c>
      <c r="O12">
        <v>7</v>
      </c>
      <c r="P12" s="6">
        <f>Work[[#This Row],[Delivered Date]]-Work[[#This Row],[Order Date]]</f>
        <v>10</v>
      </c>
      <c r="Q12" t="s">
        <v>14</v>
      </c>
      <c r="R12" t="s">
        <v>549</v>
      </c>
      <c r="S12" t="s">
        <v>19</v>
      </c>
    </row>
    <row r="13" spans="1:19" x14ac:dyDescent="0.35">
      <c r="A13">
        <v>232</v>
      </c>
      <c r="B13" t="s">
        <v>278</v>
      </c>
      <c r="C13" t="s">
        <v>12</v>
      </c>
      <c r="D13" t="s">
        <v>36</v>
      </c>
      <c r="E13" s="9">
        <v>45649</v>
      </c>
      <c r="F13" s="9">
        <v>45662</v>
      </c>
      <c r="G13" s="4" t="str">
        <f>TEXT(Work[[#This Row],[Delivered Date]],"mmm")</f>
        <v>Jan</v>
      </c>
      <c r="H13" s="16">
        <f>MONTH(Work[[#This Row],[Delivered Date]])</f>
        <v>1</v>
      </c>
      <c r="I13" s="1" t="str">
        <f>TEXT(Work[[#This Row],[Delivered Date]],"ddd")</f>
        <v>Sun</v>
      </c>
      <c r="J13" s="4">
        <f>_xlfn.XLOOKUP(Work[[#This Row],[Product Name]],Cost[Product Name],Cost[Cost Percentage],"NA")</f>
        <v>0.8</v>
      </c>
      <c r="K13" s="3">
        <v>835</v>
      </c>
      <c r="L13" s="3">
        <f>Work[[#This Row],[Unit Price]]*Work[[#This Row],[Quantity]]</f>
        <v>5845</v>
      </c>
      <c r="M13" s="3">
        <f>Work[[#This Row],[Revenue]]*Work[[#This Row],[cost percentage]]</f>
        <v>4676</v>
      </c>
      <c r="N13" s="3">
        <f>Work[[#This Row],[Revenue]]-Work[[#This Row],[Cost]]</f>
        <v>1169</v>
      </c>
      <c r="O13">
        <v>7</v>
      </c>
      <c r="P13" s="6">
        <f>Work[[#This Row],[Delivered Date]]-Work[[#This Row],[Order Date]]</f>
        <v>13</v>
      </c>
      <c r="Q13" t="s">
        <v>14</v>
      </c>
      <c r="R13" t="s">
        <v>551</v>
      </c>
      <c r="S13" t="s">
        <v>46</v>
      </c>
    </row>
    <row r="14" spans="1:19" x14ac:dyDescent="0.35">
      <c r="A14">
        <v>251</v>
      </c>
      <c r="B14" t="s">
        <v>297</v>
      </c>
      <c r="C14" t="s">
        <v>24</v>
      </c>
      <c r="D14" t="s">
        <v>115</v>
      </c>
      <c r="E14" s="9">
        <v>45297</v>
      </c>
      <c r="F14" s="9">
        <v>45305</v>
      </c>
      <c r="G14" s="4" t="str">
        <f>TEXT(Work[[#This Row],[Delivered Date]],"mmm")</f>
        <v>Jan</v>
      </c>
      <c r="H14" s="16">
        <f>MONTH(Work[[#This Row],[Delivered Date]])</f>
        <v>1</v>
      </c>
      <c r="I14" s="1" t="str">
        <f>TEXT(Work[[#This Row],[Delivered Date]],"ddd")</f>
        <v>Sun</v>
      </c>
      <c r="J14" s="4">
        <f>_xlfn.XLOOKUP(Work[[#This Row],[Product Name]],Cost[Product Name],Cost[Cost Percentage],"NA")</f>
        <v>0.6</v>
      </c>
      <c r="K14" s="3">
        <v>274</v>
      </c>
      <c r="L14" s="3">
        <f>Work[[#This Row],[Unit Price]]*Work[[#This Row],[Quantity]]</f>
        <v>548</v>
      </c>
      <c r="M14" s="3">
        <f>Work[[#This Row],[Revenue]]*Work[[#This Row],[cost percentage]]</f>
        <v>328.8</v>
      </c>
      <c r="N14" s="3">
        <f>Work[[#This Row],[Revenue]]-Work[[#This Row],[Cost]]</f>
        <v>219.2</v>
      </c>
      <c r="O14">
        <v>2</v>
      </c>
      <c r="P14" s="6">
        <f>Work[[#This Row],[Delivered Date]]-Work[[#This Row],[Order Date]]</f>
        <v>8</v>
      </c>
      <c r="Q14" t="s">
        <v>28</v>
      </c>
      <c r="R14" t="s">
        <v>548</v>
      </c>
      <c r="S14" t="s">
        <v>19</v>
      </c>
    </row>
    <row r="15" spans="1:19" x14ac:dyDescent="0.35">
      <c r="A15">
        <v>262</v>
      </c>
      <c r="B15" t="s">
        <v>308</v>
      </c>
      <c r="C15" t="s">
        <v>24</v>
      </c>
      <c r="D15" t="s">
        <v>38</v>
      </c>
      <c r="E15" s="9">
        <v>45655</v>
      </c>
      <c r="F15" s="9">
        <v>45659</v>
      </c>
      <c r="G15" s="4" t="str">
        <f>TEXT(Work[[#This Row],[Delivered Date]],"mmm")</f>
        <v>Jan</v>
      </c>
      <c r="H15" s="16">
        <f>MONTH(Work[[#This Row],[Delivered Date]])</f>
        <v>1</v>
      </c>
      <c r="I15" s="1" t="str">
        <f>TEXT(Work[[#This Row],[Delivered Date]],"ddd")</f>
        <v>Thu</v>
      </c>
      <c r="J15" s="4">
        <f>_xlfn.XLOOKUP(Work[[#This Row],[Product Name]],Cost[Product Name],Cost[Cost Percentage],"NA")</f>
        <v>0.5</v>
      </c>
      <c r="K15" s="3">
        <v>510</v>
      </c>
      <c r="L15" s="3">
        <f>Work[[#This Row],[Unit Price]]*Work[[#This Row],[Quantity]]</f>
        <v>4080</v>
      </c>
      <c r="M15" s="3">
        <f>Work[[#This Row],[Revenue]]*Work[[#This Row],[cost percentage]]</f>
        <v>2040</v>
      </c>
      <c r="N15" s="3">
        <f>Work[[#This Row],[Revenue]]-Work[[#This Row],[Cost]]</f>
        <v>2040</v>
      </c>
      <c r="O15">
        <v>8</v>
      </c>
      <c r="P15" s="6">
        <f>Work[[#This Row],[Delivered Date]]-Work[[#This Row],[Order Date]]</f>
        <v>4</v>
      </c>
      <c r="Q15" t="s">
        <v>28</v>
      </c>
      <c r="R15" t="s">
        <v>548</v>
      </c>
      <c r="S15" t="s">
        <v>15</v>
      </c>
    </row>
    <row r="16" spans="1:19" x14ac:dyDescent="0.35">
      <c r="A16">
        <v>288</v>
      </c>
      <c r="B16" t="s">
        <v>334</v>
      </c>
      <c r="C16" t="s">
        <v>12</v>
      </c>
      <c r="D16" t="s">
        <v>58</v>
      </c>
      <c r="E16" s="9">
        <v>45651</v>
      </c>
      <c r="F16" s="9">
        <v>45658</v>
      </c>
      <c r="G16" s="4" t="str">
        <f>TEXT(Work[[#This Row],[Delivered Date]],"mmm")</f>
        <v>Jan</v>
      </c>
      <c r="H16" s="16">
        <f>MONTH(Work[[#This Row],[Delivered Date]])</f>
        <v>1</v>
      </c>
      <c r="I16" s="1" t="str">
        <f>TEXT(Work[[#This Row],[Delivered Date]],"ddd")</f>
        <v>Wed</v>
      </c>
      <c r="J16" s="4">
        <f>_xlfn.XLOOKUP(Work[[#This Row],[Product Name]],Cost[Product Name],Cost[Cost Percentage],"NA")</f>
        <v>0.85</v>
      </c>
      <c r="K16" s="3">
        <v>177</v>
      </c>
      <c r="L16" s="3">
        <f>Work[[#This Row],[Unit Price]]*Work[[#This Row],[Quantity]]</f>
        <v>177</v>
      </c>
      <c r="M16" s="3">
        <f>Work[[#This Row],[Revenue]]*Work[[#This Row],[cost percentage]]</f>
        <v>150.44999999999999</v>
      </c>
      <c r="N16" s="3">
        <f>Work[[#This Row],[Revenue]]-Work[[#This Row],[Cost]]</f>
        <v>26.550000000000011</v>
      </c>
      <c r="O16">
        <v>1</v>
      </c>
      <c r="P16" s="6">
        <f>Work[[#This Row],[Delivered Date]]-Work[[#This Row],[Order Date]]</f>
        <v>7</v>
      </c>
      <c r="Q16" t="s">
        <v>28</v>
      </c>
      <c r="R16" t="s">
        <v>550</v>
      </c>
      <c r="S16" t="s">
        <v>19</v>
      </c>
    </row>
    <row r="17" spans="1:19" x14ac:dyDescent="0.35">
      <c r="A17">
        <v>303</v>
      </c>
      <c r="B17" t="s">
        <v>349</v>
      </c>
      <c r="C17" t="s">
        <v>21</v>
      </c>
      <c r="D17" t="s">
        <v>40</v>
      </c>
      <c r="E17" s="9">
        <v>45298</v>
      </c>
      <c r="F17" s="9">
        <v>45303</v>
      </c>
      <c r="G17" s="4" t="str">
        <f>TEXT(Work[[#This Row],[Delivered Date]],"mmm")</f>
        <v>Jan</v>
      </c>
      <c r="H17" s="16">
        <f>MONTH(Work[[#This Row],[Delivered Date]])</f>
        <v>1</v>
      </c>
      <c r="I17" s="1" t="str">
        <f>TEXT(Work[[#This Row],[Delivered Date]],"ddd")</f>
        <v>Fri</v>
      </c>
      <c r="J17" s="4">
        <f>_xlfn.XLOOKUP(Work[[#This Row],[Product Name]],Cost[Product Name],Cost[Cost Percentage],"NA")</f>
        <v>0.65</v>
      </c>
      <c r="K17" s="3">
        <v>860</v>
      </c>
      <c r="L17" s="3">
        <f>Work[[#This Row],[Unit Price]]*Work[[#This Row],[Quantity]]</f>
        <v>860</v>
      </c>
      <c r="M17" s="3">
        <f>Work[[#This Row],[Revenue]]*Work[[#This Row],[cost percentage]]</f>
        <v>559</v>
      </c>
      <c r="N17" s="3">
        <f>Work[[#This Row],[Revenue]]-Work[[#This Row],[Cost]]</f>
        <v>301</v>
      </c>
      <c r="O17">
        <v>1</v>
      </c>
      <c r="P17" s="6">
        <f>Work[[#This Row],[Delivered Date]]-Work[[#This Row],[Order Date]]</f>
        <v>5</v>
      </c>
      <c r="Q17" t="s">
        <v>14</v>
      </c>
      <c r="R17" t="s">
        <v>549</v>
      </c>
      <c r="S17" t="s">
        <v>19</v>
      </c>
    </row>
    <row r="18" spans="1:19" x14ac:dyDescent="0.35">
      <c r="A18">
        <v>308</v>
      </c>
      <c r="B18" t="s">
        <v>354</v>
      </c>
      <c r="C18" t="s">
        <v>21</v>
      </c>
      <c r="D18" t="s">
        <v>22</v>
      </c>
      <c r="E18" s="9">
        <v>45665</v>
      </c>
      <c r="F18" s="9">
        <v>45678</v>
      </c>
      <c r="G18" s="4" t="str">
        <f>TEXT(Work[[#This Row],[Delivered Date]],"mmm")</f>
        <v>Jan</v>
      </c>
      <c r="H18" s="16">
        <f>MONTH(Work[[#This Row],[Delivered Date]])</f>
        <v>1</v>
      </c>
      <c r="I18" s="1" t="str">
        <f>TEXT(Work[[#This Row],[Delivered Date]],"ddd")</f>
        <v>Tue</v>
      </c>
      <c r="J18" s="4">
        <f>_xlfn.XLOOKUP(Work[[#This Row],[Product Name]],Cost[Product Name],Cost[Cost Percentage],"NA")</f>
        <v>0.75</v>
      </c>
      <c r="K18" s="3">
        <v>713</v>
      </c>
      <c r="L18" s="3">
        <f>Work[[#This Row],[Unit Price]]*Work[[#This Row],[Quantity]]</f>
        <v>713</v>
      </c>
      <c r="M18" s="3">
        <f>Work[[#This Row],[Revenue]]*Work[[#This Row],[cost percentage]]</f>
        <v>534.75</v>
      </c>
      <c r="N18" s="3">
        <f>Work[[#This Row],[Revenue]]-Work[[#This Row],[Cost]]</f>
        <v>178.25</v>
      </c>
      <c r="O18">
        <v>1</v>
      </c>
      <c r="P18" s="6">
        <f>Work[[#This Row],[Delivered Date]]-Work[[#This Row],[Order Date]]</f>
        <v>13</v>
      </c>
      <c r="Q18" t="s">
        <v>28</v>
      </c>
      <c r="R18" t="s">
        <v>550</v>
      </c>
      <c r="S18" t="s">
        <v>19</v>
      </c>
    </row>
    <row r="19" spans="1:19" x14ac:dyDescent="0.35">
      <c r="A19">
        <v>313</v>
      </c>
      <c r="B19" t="s">
        <v>359</v>
      </c>
      <c r="C19" t="s">
        <v>21</v>
      </c>
      <c r="D19" t="s">
        <v>22</v>
      </c>
      <c r="E19" s="9">
        <v>45665</v>
      </c>
      <c r="F19" s="9">
        <v>45672</v>
      </c>
      <c r="G19" s="4" t="str">
        <f>TEXT(Work[[#This Row],[Delivered Date]],"mmm")</f>
        <v>Jan</v>
      </c>
      <c r="H19" s="16">
        <f>MONTH(Work[[#This Row],[Delivered Date]])</f>
        <v>1</v>
      </c>
      <c r="I19" s="1" t="str">
        <f>TEXT(Work[[#This Row],[Delivered Date]],"ddd")</f>
        <v>Wed</v>
      </c>
      <c r="J19" s="4">
        <f>_xlfn.XLOOKUP(Work[[#This Row],[Product Name]],Cost[Product Name],Cost[Cost Percentage],"NA")</f>
        <v>0.75</v>
      </c>
      <c r="K19" s="3">
        <v>785</v>
      </c>
      <c r="L19" s="3">
        <f>Work[[#This Row],[Unit Price]]*Work[[#This Row],[Quantity]]</f>
        <v>7065</v>
      </c>
      <c r="M19" s="3">
        <f>Work[[#This Row],[Revenue]]*Work[[#This Row],[cost percentage]]</f>
        <v>5298.75</v>
      </c>
      <c r="N19" s="3">
        <f>Work[[#This Row],[Revenue]]-Work[[#This Row],[Cost]]</f>
        <v>1766.25</v>
      </c>
      <c r="O19">
        <v>9</v>
      </c>
      <c r="P19" s="6">
        <f>Work[[#This Row],[Delivered Date]]-Work[[#This Row],[Order Date]]</f>
        <v>7</v>
      </c>
      <c r="Q19" t="s">
        <v>14</v>
      </c>
      <c r="R19" t="s">
        <v>547</v>
      </c>
      <c r="S19" t="s">
        <v>46</v>
      </c>
    </row>
    <row r="20" spans="1:19" x14ac:dyDescent="0.35">
      <c r="A20">
        <v>380</v>
      </c>
      <c r="B20" t="s">
        <v>426</v>
      </c>
      <c r="C20" t="s">
        <v>17</v>
      </c>
      <c r="D20" t="s">
        <v>64</v>
      </c>
      <c r="E20" s="9">
        <v>45675</v>
      </c>
      <c r="F20" s="9">
        <v>45678</v>
      </c>
      <c r="G20" s="4" t="str">
        <f>TEXT(Work[[#This Row],[Delivered Date]],"mmm")</f>
        <v>Jan</v>
      </c>
      <c r="H20" s="16">
        <f>MONTH(Work[[#This Row],[Delivered Date]])</f>
        <v>1</v>
      </c>
      <c r="I20" s="1" t="str">
        <f>TEXT(Work[[#This Row],[Delivered Date]],"ddd")</f>
        <v>Tue</v>
      </c>
      <c r="J20" s="4">
        <f>_xlfn.XLOOKUP(Work[[#This Row],[Product Name]],Cost[Product Name],Cost[Cost Percentage],"NA")</f>
        <v>0.5</v>
      </c>
      <c r="K20" s="3">
        <v>801</v>
      </c>
      <c r="L20" s="3">
        <f>Work[[#This Row],[Unit Price]]*Work[[#This Row],[Quantity]]</f>
        <v>3204</v>
      </c>
      <c r="M20" s="3">
        <f>Work[[#This Row],[Revenue]]*Work[[#This Row],[cost percentage]]</f>
        <v>1602</v>
      </c>
      <c r="N20" s="3">
        <f>Work[[#This Row],[Revenue]]-Work[[#This Row],[Cost]]</f>
        <v>1602</v>
      </c>
      <c r="O20">
        <v>4</v>
      </c>
      <c r="P20" s="6">
        <f>Work[[#This Row],[Delivered Date]]-Work[[#This Row],[Order Date]]</f>
        <v>3</v>
      </c>
      <c r="Q20" t="s">
        <v>14</v>
      </c>
      <c r="R20" t="s">
        <v>550</v>
      </c>
      <c r="S20" t="s">
        <v>15</v>
      </c>
    </row>
    <row r="21" spans="1:19" x14ac:dyDescent="0.35">
      <c r="A21">
        <v>388</v>
      </c>
      <c r="B21" t="s">
        <v>434</v>
      </c>
      <c r="C21" t="s">
        <v>17</v>
      </c>
      <c r="D21" t="s">
        <v>18</v>
      </c>
      <c r="E21" s="9">
        <v>45679</v>
      </c>
      <c r="F21" s="9">
        <v>45686</v>
      </c>
      <c r="G21" s="4" t="str">
        <f>TEXT(Work[[#This Row],[Delivered Date]],"mmm")</f>
        <v>Jan</v>
      </c>
      <c r="H21" s="16">
        <f>MONTH(Work[[#This Row],[Delivered Date]])</f>
        <v>1</v>
      </c>
      <c r="I21" s="1" t="str">
        <f>TEXT(Work[[#This Row],[Delivered Date]],"ddd")</f>
        <v>Wed</v>
      </c>
      <c r="J21" s="4">
        <f>_xlfn.XLOOKUP(Work[[#This Row],[Product Name]],Cost[Product Name],Cost[Cost Percentage],"NA")</f>
        <v>0.5</v>
      </c>
      <c r="K21" s="3">
        <v>563</v>
      </c>
      <c r="L21" s="3">
        <f>Work[[#This Row],[Unit Price]]*Work[[#This Row],[Quantity]]</f>
        <v>3378</v>
      </c>
      <c r="M21" s="3">
        <f>Work[[#This Row],[Revenue]]*Work[[#This Row],[cost percentage]]</f>
        <v>1689</v>
      </c>
      <c r="N21" s="3">
        <f>Work[[#This Row],[Revenue]]-Work[[#This Row],[Cost]]</f>
        <v>1689</v>
      </c>
      <c r="O21">
        <v>6</v>
      </c>
      <c r="P21" s="6">
        <f>Work[[#This Row],[Delivered Date]]-Work[[#This Row],[Order Date]]</f>
        <v>7</v>
      </c>
      <c r="Q21" t="s">
        <v>14</v>
      </c>
      <c r="R21" t="s">
        <v>551</v>
      </c>
      <c r="S21" t="s">
        <v>46</v>
      </c>
    </row>
    <row r="22" spans="1:19" x14ac:dyDescent="0.35">
      <c r="A22">
        <v>398</v>
      </c>
      <c r="B22" t="s">
        <v>444</v>
      </c>
      <c r="C22" t="s">
        <v>17</v>
      </c>
      <c r="D22" t="s">
        <v>18</v>
      </c>
      <c r="E22" s="9">
        <v>45661</v>
      </c>
      <c r="F22" s="9">
        <v>45668</v>
      </c>
      <c r="G22" s="4" t="str">
        <f>TEXT(Work[[#This Row],[Delivered Date]],"mmm")</f>
        <v>Jan</v>
      </c>
      <c r="H22" s="16">
        <f>MONTH(Work[[#This Row],[Delivered Date]])</f>
        <v>1</v>
      </c>
      <c r="I22" s="1" t="str">
        <f>TEXT(Work[[#This Row],[Delivered Date]],"ddd")</f>
        <v>Sat</v>
      </c>
      <c r="J22" s="4">
        <f>_xlfn.XLOOKUP(Work[[#This Row],[Product Name]],Cost[Product Name],Cost[Cost Percentage],"NA")</f>
        <v>0.5</v>
      </c>
      <c r="K22" s="3">
        <v>132</v>
      </c>
      <c r="L22" s="3">
        <f>Work[[#This Row],[Unit Price]]*Work[[#This Row],[Quantity]]</f>
        <v>264</v>
      </c>
      <c r="M22" s="3">
        <f>Work[[#This Row],[Revenue]]*Work[[#This Row],[cost percentage]]</f>
        <v>132</v>
      </c>
      <c r="N22" s="3">
        <f>Work[[#This Row],[Revenue]]-Work[[#This Row],[Cost]]</f>
        <v>132</v>
      </c>
      <c r="O22">
        <v>2</v>
      </c>
      <c r="P22" s="6">
        <f>Work[[#This Row],[Delivered Date]]-Work[[#This Row],[Order Date]]</f>
        <v>7</v>
      </c>
      <c r="Q22" t="s">
        <v>28</v>
      </c>
      <c r="R22" t="s">
        <v>550</v>
      </c>
      <c r="S22" t="s">
        <v>29</v>
      </c>
    </row>
    <row r="23" spans="1:19" x14ac:dyDescent="0.35">
      <c r="A23">
        <v>412</v>
      </c>
      <c r="B23" t="s">
        <v>458</v>
      </c>
      <c r="C23" t="s">
        <v>31</v>
      </c>
      <c r="D23" t="s">
        <v>32</v>
      </c>
      <c r="E23" s="9">
        <v>45675</v>
      </c>
      <c r="F23" s="9">
        <v>45688</v>
      </c>
      <c r="G23" s="4" t="str">
        <f>TEXT(Work[[#This Row],[Delivered Date]],"mmm")</f>
        <v>Jan</v>
      </c>
      <c r="H23" s="16">
        <f>MONTH(Work[[#This Row],[Delivered Date]])</f>
        <v>1</v>
      </c>
      <c r="I23" s="1" t="str">
        <f>TEXT(Work[[#This Row],[Delivered Date]],"ddd")</f>
        <v>Fri</v>
      </c>
      <c r="J23" s="4">
        <f>_xlfn.XLOOKUP(Work[[#This Row],[Product Name]],Cost[Product Name],Cost[Cost Percentage],"NA")</f>
        <v>0.75</v>
      </c>
      <c r="K23" s="3">
        <v>541</v>
      </c>
      <c r="L23" s="3">
        <f>Work[[#This Row],[Unit Price]]*Work[[#This Row],[Quantity]]</f>
        <v>3246</v>
      </c>
      <c r="M23" s="3">
        <f>Work[[#This Row],[Revenue]]*Work[[#This Row],[cost percentage]]</f>
        <v>2434.5</v>
      </c>
      <c r="N23" s="3">
        <f>Work[[#This Row],[Revenue]]-Work[[#This Row],[Cost]]</f>
        <v>811.5</v>
      </c>
      <c r="O23">
        <v>6</v>
      </c>
      <c r="P23" s="6">
        <f>Work[[#This Row],[Delivered Date]]-Work[[#This Row],[Order Date]]</f>
        <v>13</v>
      </c>
      <c r="Q23" t="s">
        <v>28</v>
      </c>
      <c r="R23" t="s">
        <v>551</v>
      </c>
      <c r="S23" t="s">
        <v>15</v>
      </c>
    </row>
    <row r="24" spans="1:19" x14ac:dyDescent="0.35">
      <c r="A24">
        <v>416</v>
      </c>
      <c r="B24" t="s">
        <v>462</v>
      </c>
      <c r="C24" t="s">
        <v>24</v>
      </c>
      <c r="D24" t="s">
        <v>25</v>
      </c>
      <c r="E24" s="9">
        <v>45665</v>
      </c>
      <c r="F24" s="9">
        <v>45678</v>
      </c>
      <c r="G24" s="4" t="str">
        <f>TEXT(Work[[#This Row],[Delivered Date]],"mmm")</f>
        <v>Jan</v>
      </c>
      <c r="H24" s="16">
        <f>MONTH(Work[[#This Row],[Delivered Date]])</f>
        <v>1</v>
      </c>
      <c r="I24" s="1" t="str">
        <f>TEXT(Work[[#This Row],[Delivered Date]],"ddd")</f>
        <v>Tue</v>
      </c>
      <c r="J24" s="4">
        <f>_xlfn.XLOOKUP(Work[[#This Row],[Product Name]],Cost[Product Name],Cost[Cost Percentage],"NA")</f>
        <v>0.55000000000000004</v>
      </c>
      <c r="K24" s="3">
        <v>333</v>
      </c>
      <c r="L24" s="3">
        <f>Work[[#This Row],[Unit Price]]*Work[[#This Row],[Quantity]]</f>
        <v>333</v>
      </c>
      <c r="M24" s="3">
        <f>Work[[#This Row],[Revenue]]*Work[[#This Row],[cost percentage]]</f>
        <v>183.15</v>
      </c>
      <c r="N24" s="3">
        <f>Work[[#This Row],[Revenue]]-Work[[#This Row],[Cost]]</f>
        <v>149.85</v>
      </c>
      <c r="O24">
        <v>1</v>
      </c>
      <c r="P24" s="6">
        <f>Work[[#This Row],[Delivered Date]]-Work[[#This Row],[Order Date]]</f>
        <v>13</v>
      </c>
      <c r="Q24" t="s">
        <v>28</v>
      </c>
      <c r="R24" t="s">
        <v>33</v>
      </c>
      <c r="S24" t="s">
        <v>15</v>
      </c>
    </row>
    <row r="25" spans="1:19" x14ac:dyDescent="0.35">
      <c r="A25">
        <v>431</v>
      </c>
      <c r="B25" t="s">
        <v>477</v>
      </c>
      <c r="C25" t="s">
        <v>21</v>
      </c>
      <c r="D25" t="s">
        <v>22</v>
      </c>
      <c r="E25" s="9">
        <v>45684</v>
      </c>
      <c r="F25" s="9">
        <v>45686</v>
      </c>
      <c r="G25" s="4" t="str">
        <f>TEXT(Work[[#This Row],[Delivered Date]],"mmm")</f>
        <v>Jan</v>
      </c>
      <c r="H25" s="16">
        <f>MONTH(Work[[#This Row],[Delivered Date]])</f>
        <v>1</v>
      </c>
      <c r="I25" s="1" t="str">
        <f>TEXT(Work[[#This Row],[Delivered Date]],"ddd")</f>
        <v>Wed</v>
      </c>
      <c r="J25" s="4">
        <f>_xlfn.XLOOKUP(Work[[#This Row],[Product Name]],Cost[Product Name],Cost[Cost Percentage],"NA")</f>
        <v>0.75</v>
      </c>
      <c r="K25" s="3">
        <v>684</v>
      </c>
      <c r="L25" s="3">
        <f>Work[[#This Row],[Unit Price]]*Work[[#This Row],[Quantity]]</f>
        <v>5472</v>
      </c>
      <c r="M25" s="3">
        <f>Work[[#This Row],[Revenue]]*Work[[#This Row],[cost percentage]]</f>
        <v>4104</v>
      </c>
      <c r="N25" s="3">
        <f>Work[[#This Row],[Revenue]]-Work[[#This Row],[Cost]]</f>
        <v>1368</v>
      </c>
      <c r="O25">
        <v>8</v>
      </c>
      <c r="P25" s="6">
        <f>Work[[#This Row],[Delivered Date]]-Work[[#This Row],[Order Date]]</f>
        <v>2</v>
      </c>
      <c r="Q25" t="s">
        <v>14</v>
      </c>
      <c r="R25" t="s">
        <v>549</v>
      </c>
      <c r="S25" t="s">
        <v>29</v>
      </c>
    </row>
    <row r="26" spans="1:19" x14ac:dyDescent="0.35">
      <c r="A26">
        <v>434</v>
      </c>
      <c r="B26" t="s">
        <v>480</v>
      </c>
      <c r="C26" t="s">
        <v>12</v>
      </c>
      <c r="D26" t="s">
        <v>58</v>
      </c>
      <c r="E26" s="9">
        <v>45663</v>
      </c>
      <c r="F26" s="9">
        <v>45669</v>
      </c>
      <c r="G26" s="4" t="str">
        <f>TEXT(Work[[#This Row],[Delivered Date]],"mmm")</f>
        <v>Jan</v>
      </c>
      <c r="H26" s="16">
        <f>MONTH(Work[[#This Row],[Delivered Date]])</f>
        <v>1</v>
      </c>
      <c r="I26" s="1" t="str">
        <f>TEXT(Work[[#This Row],[Delivered Date]],"ddd")</f>
        <v>Sun</v>
      </c>
      <c r="J26" s="4">
        <f>_xlfn.XLOOKUP(Work[[#This Row],[Product Name]],Cost[Product Name],Cost[Cost Percentage],"NA")</f>
        <v>0.85</v>
      </c>
      <c r="K26" s="3">
        <v>527</v>
      </c>
      <c r="L26" s="3">
        <f>Work[[#This Row],[Unit Price]]*Work[[#This Row],[Quantity]]</f>
        <v>4216</v>
      </c>
      <c r="M26" s="3">
        <f>Work[[#This Row],[Revenue]]*Work[[#This Row],[cost percentage]]</f>
        <v>3583.6</v>
      </c>
      <c r="N26" s="3">
        <f>Work[[#This Row],[Revenue]]-Work[[#This Row],[Cost]]</f>
        <v>632.40000000000009</v>
      </c>
      <c r="O26">
        <v>8</v>
      </c>
      <c r="P26" s="6">
        <f>Work[[#This Row],[Delivered Date]]-Work[[#This Row],[Order Date]]</f>
        <v>6</v>
      </c>
      <c r="Q26" t="s">
        <v>28</v>
      </c>
      <c r="R26" t="s">
        <v>551</v>
      </c>
      <c r="S26" t="s">
        <v>46</v>
      </c>
    </row>
    <row r="27" spans="1:19" x14ac:dyDescent="0.35">
      <c r="A27">
        <v>456</v>
      </c>
      <c r="B27" t="s">
        <v>502</v>
      </c>
      <c r="C27" t="s">
        <v>17</v>
      </c>
      <c r="D27" t="s">
        <v>18</v>
      </c>
      <c r="E27" s="9">
        <v>45666</v>
      </c>
      <c r="F27" s="9">
        <v>45673</v>
      </c>
      <c r="G27" s="4" t="str">
        <f>TEXT(Work[[#This Row],[Delivered Date]],"mmm")</f>
        <v>Jan</v>
      </c>
      <c r="H27" s="16">
        <f>MONTH(Work[[#This Row],[Delivered Date]])</f>
        <v>1</v>
      </c>
      <c r="I27" s="1" t="str">
        <f>TEXT(Work[[#This Row],[Delivered Date]],"ddd")</f>
        <v>Thu</v>
      </c>
      <c r="J27" s="4">
        <f>_xlfn.XLOOKUP(Work[[#This Row],[Product Name]],Cost[Product Name],Cost[Cost Percentage],"NA")</f>
        <v>0.5</v>
      </c>
      <c r="K27" s="3">
        <v>319</v>
      </c>
      <c r="L27" s="3">
        <f>Work[[#This Row],[Unit Price]]*Work[[#This Row],[Quantity]]</f>
        <v>957</v>
      </c>
      <c r="M27" s="3">
        <f>Work[[#This Row],[Revenue]]*Work[[#This Row],[cost percentage]]</f>
        <v>478.5</v>
      </c>
      <c r="N27" s="3">
        <f>Work[[#This Row],[Revenue]]-Work[[#This Row],[Cost]]</f>
        <v>478.5</v>
      </c>
      <c r="O27">
        <v>3</v>
      </c>
      <c r="P27" s="6">
        <f>Work[[#This Row],[Delivered Date]]-Work[[#This Row],[Order Date]]</f>
        <v>7</v>
      </c>
      <c r="Q27" t="s">
        <v>14</v>
      </c>
      <c r="R27" t="s">
        <v>551</v>
      </c>
      <c r="S27" t="s">
        <v>46</v>
      </c>
    </row>
    <row r="28" spans="1:19" x14ac:dyDescent="0.35">
      <c r="A28">
        <v>464</v>
      </c>
      <c r="B28" t="s">
        <v>510</v>
      </c>
      <c r="C28" t="s">
        <v>21</v>
      </c>
      <c r="D28" t="s">
        <v>22</v>
      </c>
      <c r="E28" s="9">
        <v>45683</v>
      </c>
      <c r="F28" s="9">
        <v>45686</v>
      </c>
      <c r="G28" s="4" t="str">
        <f>TEXT(Work[[#This Row],[Delivered Date]],"mmm")</f>
        <v>Jan</v>
      </c>
      <c r="H28" s="16">
        <f>MONTH(Work[[#This Row],[Delivered Date]])</f>
        <v>1</v>
      </c>
      <c r="I28" s="1" t="str">
        <f>TEXT(Work[[#This Row],[Delivered Date]],"ddd")</f>
        <v>Wed</v>
      </c>
      <c r="J28" s="4">
        <f>_xlfn.XLOOKUP(Work[[#This Row],[Product Name]],Cost[Product Name],Cost[Cost Percentage],"NA")</f>
        <v>0.75</v>
      </c>
      <c r="K28" s="3">
        <v>200</v>
      </c>
      <c r="L28" s="3">
        <f>Work[[#This Row],[Unit Price]]*Work[[#This Row],[Quantity]]</f>
        <v>800</v>
      </c>
      <c r="M28" s="3">
        <f>Work[[#This Row],[Revenue]]*Work[[#This Row],[cost percentage]]</f>
        <v>600</v>
      </c>
      <c r="N28" s="3">
        <f>Work[[#This Row],[Revenue]]-Work[[#This Row],[Cost]]</f>
        <v>200</v>
      </c>
      <c r="O28">
        <v>4</v>
      </c>
      <c r="P28" s="6">
        <f>Work[[#This Row],[Delivered Date]]-Work[[#This Row],[Order Date]]</f>
        <v>3</v>
      </c>
      <c r="Q28" t="s">
        <v>14</v>
      </c>
      <c r="R28" t="s">
        <v>549</v>
      </c>
      <c r="S28" t="s">
        <v>46</v>
      </c>
    </row>
    <row r="29" spans="1:19" x14ac:dyDescent="0.35">
      <c r="A29">
        <v>482</v>
      </c>
      <c r="B29" t="s">
        <v>528</v>
      </c>
      <c r="C29" t="s">
        <v>17</v>
      </c>
      <c r="D29" t="s">
        <v>56</v>
      </c>
      <c r="E29" s="9">
        <v>45660</v>
      </c>
      <c r="F29" s="9">
        <v>45667</v>
      </c>
      <c r="G29" s="4" t="str">
        <f>TEXT(Work[[#This Row],[Delivered Date]],"mmm")</f>
        <v>Jan</v>
      </c>
      <c r="H29" s="16">
        <f>MONTH(Work[[#This Row],[Delivered Date]])</f>
        <v>1</v>
      </c>
      <c r="I29" s="1" t="str">
        <f>TEXT(Work[[#This Row],[Delivered Date]],"ddd")</f>
        <v>Fri</v>
      </c>
      <c r="J29" s="4">
        <f>_xlfn.XLOOKUP(Work[[#This Row],[Product Name]],Cost[Product Name],Cost[Cost Percentage],"NA")</f>
        <v>0.55000000000000004</v>
      </c>
      <c r="K29" s="3">
        <v>727</v>
      </c>
      <c r="L29" s="3">
        <f>Work[[#This Row],[Unit Price]]*Work[[#This Row],[Quantity]]</f>
        <v>6543</v>
      </c>
      <c r="M29" s="3">
        <f>Work[[#This Row],[Revenue]]*Work[[#This Row],[cost percentage]]</f>
        <v>3598.65</v>
      </c>
      <c r="N29" s="3">
        <f>Work[[#This Row],[Revenue]]-Work[[#This Row],[Cost]]</f>
        <v>2944.35</v>
      </c>
      <c r="O29">
        <v>9</v>
      </c>
      <c r="P29" s="6">
        <f>Work[[#This Row],[Delivered Date]]-Work[[#This Row],[Order Date]]</f>
        <v>7</v>
      </c>
      <c r="Q29" t="s">
        <v>14</v>
      </c>
      <c r="R29" t="s">
        <v>551</v>
      </c>
      <c r="S29" t="s">
        <v>15</v>
      </c>
    </row>
    <row r="30" spans="1:19" x14ac:dyDescent="0.35">
      <c r="A30">
        <v>489</v>
      </c>
      <c r="B30" t="s">
        <v>47</v>
      </c>
      <c r="C30" t="s">
        <v>31</v>
      </c>
      <c r="D30" t="s">
        <v>50</v>
      </c>
      <c r="E30" s="9">
        <v>45660</v>
      </c>
      <c r="F30" s="9">
        <v>45669</v>
      </c>
      <c r="G30" s="4" t="str">
        <f>TEXT(Work[[#This Row],[Delivered Date]],"mmm")</f>
        <v>Jan</v>
      </c>
      <c r="H30" s="16">
        <f>MONTH(Work[[#This Row],[Delivered Date]])</f>
        <v>1</v>
      </c>
      <c r="I30" s="1" t="str">
        <f>TEXT(Work[[#This Row],[Delivered Date]],"ddd")</f>
        <v>Sun</v>
      </c>
      <c r="J30" s="4">
        <f>_xlfn.XLOOKUP(Work[[#This Row],[Product Name]],Cost[Product Name],Cost[Cost Percentage],"NA")</f>
        <v>0.7</v>
      </c>
      <c r="K30" s="3">
        <v>669</v>
      </c>
      <c r="L30" s="3">
        <f>Work[[#This Row],[Unit Price]]*Work[[#This Row],[Quantity]]</f>
        <v>669</v>
      </c>
      <c r="M30" s="3">
        <f>Work[[#This Row],[Revenue]]*Work[[#This Row],[cost percentage]]</f>
        <v>468.29999999999995</v>
      </c>
      <c r="N30" s="3">
        <f>Work[[#This Row],[Revenue]]-Work[[#This Row],[Cost]]</f>
        <v>200.70000000000005</v>
      </c>
      <c r="O30">
        <v>1</v>
      </c>
      <c r="P30" s="6">
        <f>Work[[#This Row],[Delivered Date]]-Work[[#This Row],[Order Date]]</f>
        <v>9</v>
      </c>
      <c r="Q30" t="s">
        <v>14</v>
      </c>
      <c r="R30" t="s">
        <v>551</v>
      </c>
      <c r="S30" t="s">
        <v>19</v>
      </c>
    </row>
    <row r="31" spans="1:19" x14ac:dyDescent="0.35">
      <c r="A31">
        <v>503</v>
      </c>
      <c r="B31" t="s">
        <v>67</v>
      </c>
      <c r="C31" t="s">
        <v>31</v>
      </c>
      <c r="D31" t="s">
        <v>42</v>
      </c>
      <c r="E31" s="9">
        <v>45662</v>
      </c>
      <c r="F31" s="9">
        <v>45663</v>
      </c>
      <c r="G31" s="4" t="str">
        <f>TEXT(Work[[#This Row],[Delivered Date]],"mmm")</f>
        <v>Jan</v>
      </c>
      <c r="H31" s="16">
        <f>MONTH(Work[[#This Row],[Delivered Date]])</f>
        <v>1</v>
      </c>
      <c r="I31" s="1" t="str">
        <f>TEXT(Work[[#This Row],[Delivered Date]],"ddd")</f>
        <v>Mon</v>
      </c>
      <c r="J31" s="4">
        <f>_xlfn.XLOOKUP(Work[[#This Row],[Product Name]],Cost[Product Name],Cost[Cost Percentage],"NA")</f>
        <v>0.65</v>
      </c>
      <c r="K31" s="3">
        <v>212</v>
      </c>
      <c r="L31" s="3">
        <f>Work[[#This Row],[Unit Price]]*Work[[#This Row],[Quantity]]</f>
        <v>848</v>
      </c>
      <c r="M31" s="3">
        <f>Work[[#This Row],[Revenue]]*Work[[#This Row],[cost percentage]]</f>
        <v>551.20000000000005</v>
      </c>
      <c r="N31" s="3">
        <f>Work[[#This Row],[Revenue]]-Work[[#This Row],[Cost]]</f>
        <v>296.79999999999995</v>
      </c>
      <c r="O31">
        <v>4</v>
      </c>
      <c r="P31" s="6">
        <f>Work[[#This Row],[Delivered Date]]-Work[[#This Row],[Order Date]]</f>
        <v>1</v>
      </c>
      <c r="Q31" t="s">
        <v>14</v>
      </c>
      <c r="R31" t="s">
        <v>550</v>
      </c>
      <c r="S31" t="s">
        <v>15</v>
      </c>
    </row>
    <row r="32" spans="1:19" x14ac:dyDescent="0.35">
      <c r="A32">
        <v>504</v>
      </c>
      <c r="B32" t="s">
        <v>68</v>
      </c>
      <c r="C32" t="s">
        <v>24</v>
      </c>
      <c r="D32" t="s">
        <v>70</v>
      </c>
      <c r="E32" s="9">
        <v>45669</v>
      </c>
      <c r="F32" s="9">
        <v>45684</v>
      </c>
      <c r="G32" s="4" t="str">
        <f>TEXT(Work[[#This Row],[Delivered Date]],"mmm")</f>
        <v>Jan</v>
      </c>
      <c r="H32" s="16">
        <f>MONTH(Work[[#This Row],[Delivered Date]])</f>
        <v>1</v>
      </c>
      <c r="I32" s="1" t="str">
        <f>TEXT(Work[[#This Row],[Delivered Date]],"ddd")</f>
        <v>Mon</v>
      </c>
      <c r="J32" s="4">
        <f>_xlfn.XLOOKUP(Work[[#This Row],[Product Name]],Cost[Product Name],Cost[Cost Percentage],"NA")</f>
        <v>0.55000000000000004</v>
      </c>
      <c r="K32" s="3">
        <v>639</v>
      </c>
      <c r="L32" s="3">
        <f>Work[[#This Row],[Unit Price]]*Work[[#This Row],[Quantity]]</f>
        <v>6390</v>
      </c>
      <c r="M32" s="3">
        <f>Work[[#This Row],[Revenue]]*Work[[#This Row],[cost percentage]]</f>
        <v>3514.5000000000005</v>
      </c>
      <c r="N32" s="3">
        <f>Work[[#This Row],[Revenue]]-Work[[#This Row],[Cost]]</f>
        <v>2875.4999999999995</v>
      </c>
      <c r="O32">
        <v>10</v>
      </c>
      <c r="P32" s="6">
        <f>Work[[#This Row],[Delivered Date]]-Work[[#This Row],[Order Date]]</f>
        <v>15</v>
      </c>
      <c r="Q32" t="s">
        <v>28</v>
      </c>
      <c r="R32" t="s">
        <v>547</v>
      </c>
      <c r="S32" t="s">
        <v>46</v>
      </c>
    </row>
    <row r="33" spans="1:19" x14ac:dyDescent="0.35">
      <c r="A33">
        <v>505</v>
      </c>
      <c r="B33" t="s">
        <v>69</v>
      </c>
      <c r="C33" t="s">
        <v>17</v>
      </c>
      <c r="D33" t="s">
        <v>44</v>
      </c>
      <c r="E33" s="9">
        <v>45682</v>
      </c>
      <c r="F33" s="9">
        <v>45683</v>
      </c>
      <c r="G33" s="4" t="str">
        <f>TEXT(Work[[#This Row],[Delivered Date]],"mmm")</f>
        <v>Jan</v>
      </c>
      <c r="H33" s="16">
        <f>MONTH(Work[[#This Row],[Delivered Date]])</f>
        <v>1</v>
      </c>
      <c r="I33" s="1" t="str">
        <f>TEXT(Work[[#This Row],[Delivered Date]],"ddd")</f>
        <v>Sun</v>
      </c>
      <c r="J33" s="4">
        <f>_xlfn.XLOOKUP(Work[[#This Row],[Product Name]],Cost[Product Name],Cost[Cost Percentage],"NA")</f>
        <v>0.6</v>
      </c>
      <c r="K33" s="3">
        <v>785</v>
      </c>
      <c r="L33" s="3">
        <f>Work[[#This Row],[Unit Price]]*Work[[#This Row],[Quantity]]</f>
        <v>5495</v>
      </c>
      <c r="M33" s="3">
        <f>Work[[#This Row],[Revenue]]*Work[[#This Row],[cost percentage]]</f>
        <v>3297</v>
      </c>
      <c r="N33" s="3">
        <f>Work[[#This Row],[Revenue]]-Work[[#This Row],[Cost]]</f>
        <v>2198</v>
      </c>
      <c r="O33">
        <v>7</v>
      </c>
      <c r="P33" s="6">
        <f>Work[[#This Row],[Delivered Date]]-Work[[#This Row],[Order Date]]</f>
        <v>1</v>
      </c>
      <c r="Q33" t="s">
        <v>14</v>
      </c>
      <c r="R33" t="s">
        <v>547</v>
      </c>
      <c r="S33" t="s">
        <v>19</v>
      </c>
    </row>
    <row r="34" spans="1:19" x14ac:dyDescent="0.35">
      <c r="A34">
        <v>552</v>
      </c>
      <c r="B34" t="s">
        <v>544</v>
      </c>
      <c r="C34" t="s">
        <v>31</v>
      </c>
      <c r="D34" t="s">
        <v>42</v>
      </c>
      <c r="E34" s="9">
        <v>45666</v>
      </c>
      <c r="F34" s="9">
        <v>45678</v>
      </c>
      <c r="G34" s="4" t="str">
        <f>TEXT(Work[[#This Row],[Delivered Date]],"mmm")</f>
        <v>Jan</v>
      </c>
      <c r="H34" s="16">
        <f>MONTH(Work[[#This Row],[Delivered Date]])</f>
        <v>1</v>
      </c>
      <c r="I34" s="1" t="str">
        <f>TEXT(Work[[#This Row],[Delivered Date]],"ddd")</f>
        <v>Tue</v>
      </c>
      <c r="J34" s="4">
        <f>_xlfn.XLOOKUP(Work[[#This Row],[Product Name]],Cost[Product Name],Cost[Cost Percentage],"NA")</f>
        <v>0.65</v>
      </c>
      <c r="K34" s="3">
        <v>323</v>
      </c>
      <c r="L34" s="3">
        <f>Work[[#This Row],[Unit Price]]*Work[[#This Row],[Quantity]]</f>
        <v>1938</v>
      </c>
      <c r="M34" s="3">
        <f>Work[[#This Row],[Revenue]]*Work[[#This Row],[cost percentage]]</f>
        <v>1259.7</v>
      </c>
      <c r="N34" s="3">
        <f>Work[[#This Row],[Revenue]]-Work[[#This Row],[Cost]]</f>
        <v>678.3</v>
      </c>
      <c r="O34">
        <v>6</v>
      </c>
      <c r="P34" s="6">
        <f>Work[[#This Row],[Delivered Date]]-Work[[#This Row],[Order Date]]</f>
        <v>12</v>
      </c>
      <c r="Q34" t="s">
        <v>28</v>
      </c>
      <c r="R34" t="s">
        <v>547</v>
      </c>
      <c r="S34" t="s">
        <v>15</v>
      </c>
    </row>
    <row r="35" spans="1:19" x14ac:dyDescent="0.35">
      <c r="A35">
        <v>24</v>
      </c>
      <c r="B35" t="s">
        <v>62</v>
      </c>
      <c r="C35" t="s">
        <v>21</v>
      </c>
      <c r="D35" t="s">
        <v>54</v>
      </c>
      <c r="E35" s="9">
        <v>45324</v>
      </c>
      <c r="F35" s="9">
        <v>45334</v>
      </c>
      <c r="G35" s="4" t="str">
        <f>TEXT(Work[[#This Row],[Delivered Date]],"mmm")</f>
        <v>Feb</v>
      </c>
      <c r="H35" s="16">
        <f>MONTH(Work[[#This Row],[Delivered Date]])</f>
        <v>2</v>
      </c>
      <c r="I35" s="1" t="str">
        <f>TEXT(Work[[#This Row],[Delivered Date]],"ddd")</f>
        <v>Mon</v>
      </c>
      <c r="J35" s="4">
        <f>_xlfn.XLOOKUP(Work[[#This Row],[Product Name]],Cost[Product Name],Cost[Cost Percentage],"NA")</f>
        <v>0.7</v>
      </c>
      <c r="K35" s="3">
        <v>31</v>
      </c>
      <c r="L35" s="3">
        <f>Work[[#This Row],[Unit Price]]*Work[[#This Row],[Quantity]]</f>
        <v>186</v>
      </c>
      <c r="M35" s="3">
        <f>Work[[#This Row],[Revenue]]*Work[[#This Row],[cost percentage]]</f>
        <v>130.19999999999999</v>
      </c>
      <c r="N35" s="3">
        <f>Work[[#This Row],[Revenue]]-Work[[#This Row],[Cost]]</f>
        <v>55.800000000000011</v>
      </c>
      <c r="O35">
        <v>6</v>
      </c>
      <c r="P35" s="6">
        <f>Work[[#This Row],[Delivered Date]]-Work[[#This Row],[Order Date]]</f>
        <v>10</v>
      </c>
      <c r="Q35" t="s">
        <v>14</v>
      </c>
      <c r="R35" t="s">
        <v>33</v>
      </c>
      <c r="S35" t="s">
        <v>29</v>
      </c>
    </row>
    <row r="36" spans="1:19" x14ac:dyDescent="0.35">
      <c r="A36">
        <v>28</v>
      </c>
      <c r="B36" t="s">
        <v>67</v>
      </c>
      <c r="C36" t="s">
        <v>17</v>
      </c>
      <c r="D36" t="s">
        <v>18</v>
      </c>
      <c r="E36" s="9">
        <v>45317</v>
      </c>
      <c r="F36" s="9">
        <v>45329</v>
      </c>
      <c r="G36" s="4" t="str">
        <f>TEXT(Work[[#This Row],[Delivered Date]],"mmm")</f>
        <v>Feb</v>
      </c>
      <c r="H36" s="16">
        <f>MONTH(Work[[#This Row],[Delivered Date]])</f>
        <v>2</v>
      </c>
      <c r="I36" s="1" t="str">
        <f>TEXT(Work[[#This Row],[Delivered Date]],"ddd")</f>
        <v>Wed</v>
      </c>
      <c r="J36" s="4">
        <f>_xlfn.XLOOKUP(Work[[#This Row],[Product Name]],Cost[Product Name],Cost[Cost Percentage],"NA")</f>
        <v>0.5</v>
      </c>
      <c r="K36" s="3">
        <v>866</v>
      </c>
      <c r="L36" s="3">
        <f>Work[[#This Row],[Unit Price]]*Work[[#This Row],[Quantity]]</f>
        <v>7794</v>
      </c>
      <c r="M36" s="3">
        <f>Work[[#This Row],[Revenue]]*Work[[#This Row],[cost percentage]]</f>
        <v>3897</v>
      </c>
      <c r="N36" s="3">
        <f>Work[[#This Row],[Revenue]]-Work[[#This Row],[Cost]]</f>
        <v>3897</v>
      </c>
      <c r="O36">
        <v>9</v>
      </c>
      <c r="P36" s="6">
        <f>Work[[#This Row],[Delivered Date]]-Work[[#This Row],[Order Date]]</f>
        <v>12</v>
      </c>
      <c r="Q36" t="s">
        <v>14</v>
      </c>
      <c r="R36" t="s">
        <v>551</v>
      </c>
      <c r="S36" t="s">
        <v>29</v>
      </c>
    </row>
    <row r="37" spans="1:19" x14ac:dyDescent="0.35">
      <c r="A37">
        <v>39</v>
      </c>
      <c r="B37" t="s">
        <v>81</v>
      </c>
      <c r="C37" t="s">
        <v>31</v>
      </c>
      <c r="D37" t="s">
        <v>76</v>
      </c>
      <c r="E37" s="9">
        <v>45346</v>
      </c>
      <c r="F37" s="9">
        <v>45351</v>
      </c>
      <c r="G37" s="4" t="str">
        <f>TEXT(Work[[#This Row],[Delivered Date]],"mmm")</f>
        <v>Feb</v>
      </c>
      <c r="H37" s="16">
        <f>MONTH(Work[[#This Row],[Delivered Date]])</f>
        <v>2</v>
      </c>
      <c r="I37" s="1" t="str">
        <f>TEXT(Work[[#This Row],[Delivered Date]],"ddd")</f>
        <v>Thu</v>
      </c>
      <c r="J37" s="4">
        <f>_xlfn.XLOOKUP(Work[[#This Row],[Product Name]],Cost[Product Name],Cost[Cost Percentage],"NA")</f>
        <v>0.75</v>
      </c>
      <c r="K37" s="3">
        <v>169</v>
      </c>
      <c r="L37" s="3">
        <f>Work[[#This Row],[Unit Price]]*Work[[#This Row],[Quantity]]</f>
        <v>1521</v>
      </c>
      <c r="M37" s="3">
        <f>Work[[#This Row],[Revenue]]*Work[[#This Row],[cost percentage]]</f>
        <v>1140.75</v>
      </c>
      <c r="N37" s="3">
        <f>Work[[#This Row],[Revenue]]-Work[[#This Row],[Cost]]</f>
        <v>380.25</v>
      </c>
      <c r="O37">
        <v>9</v>
      </c>
      <c r="P37" s="6">
        <f>Work[[#This Row],[Delivered Date]]-Work[[#This Row],[Order Date]]</f>
        <v>5</v>
      </c>
      <c r="Q37" t="s">
        <v>28</v>
      </c>
      <c r="R37" t="s">
        <v>547</v>
      </c>
      <c r="S37" t="s">
        <v>29</v>
      </c>
    </row>
    <row r="38" spans="1:19" x14ac:dyDescent="0.35">
      <c r="A38">
        <v>83</v>
      </c>
      <c r="B38" t="s">
        <v>129</v>
      </c>
      <c r="C38" t="s">
        <v>21</v>
      </c>
      <c r="D38" t="s">
        <v>40</v>
      </c>
      <c r="E38" s="9">
        <v>45322</v>
      </c>
      <c r="F38" s="9">
        <v>45336</v>
      </c>
      <c r="G38" s="4" t="str">
        <f>TEXT(Work[[#This Row],[Delivered Date]],"mmm")</f>
        <v>Feb</v>
      </c>
      <c r="H38" s="16">
        <f>MONTH(Work[[#This Row],[Delivered Date]])</f>
        <v>2</v>
      </c>
      <c r="I38" s="1" t="str">
        <f>TEXT(Work[[#This Row],[Delivered Date]],"ddd")</f>
        <v>Wed</v>
      </c>
      <c r="J38" s="4">
        <f>_xlfn.XLOOKUP(Work[[#This Row],[Product Name]],Cost[Product Name],Cost[Cost Percentage],"NA")</f>
        <v>0.65</v>
      </c>
      <c r="K38" s="3">
        <v>821</v>
      </c>
      <c r="L38" s="3">
        <f>Work[[#This Row],[Unit Price]]*Work[[#This Row],[Quantity]]</f>
        <v>2463</v>
      </c>
      <c r="M38" s="3">
        <f>Work[[#This Row],[Revenue]]*Work[[#This Row],[cost percentage]]</f>
        <v>1600.95</v>
      </c>
      <c r="N38" s="3">
        <f>Work[[#This Row],[Revenue]]-Work[[#This Row],[Cost]]</f>
        <v>862.05</v>
      </c>
      <c r="O38">
        <v>3</v>
      </c>
      <c r="P38" s="6">
        <f>Work[[#This Row],[Delivered Date]]-Work[[#This Row],[Order Date]]</f>
        <v>14</v>
      </c>
      <c r="Q38" t="s">
        <v>28</v>
      </c>
      <c r="R38" t="s">
        <v>547</v>
      </c>
      <c r="S38" t="s">
        <v>15</v>
      </c>
    </row>
    <row r="39" spans="1:19" x14ac:dyDescent="0.35">
      <c r="A39">
        <v>99</v>
      </c>
      <c r="B39" t="s">
        <v>145</v>
      </c>
      <c r="C39" t="s">
        <v>12</v>
      </c>
      <c r="D39" t="s">
        <v>36</v>
      </c>
      <c r="E39" s="9">
        <v>45327</v>
      </c>
      <c r="F39" s="9">
        <v>45331</v>
      </c>
      <c r="G39" s="4" t="str">
        <f>TEXT(Work[[#This Row],[Delivered Date]],"mmm")</f>
        <v>Feb</v>
      </c>
      <c r="H39" s="16">
        <f>MONTH(Work[[#This Row],[Delivered Date]])</f>
        <v>2</v>
      </c>
      <c r="I39" s="1" t="str">
        <f>TEXT(Work[[#This Row],[Delivered Date]],"ddd")</f>
        <v>Fri</v>
      </c>
      <c r="J39" s="4">
        <f>_xlfn.XLOOKUP(Work[[#This Row],[Product Name]],Cost[Product Name],Cost[Cost Percentage],"NA")</f>
        <v>0.8</v>
      </c>
      <c r="K39" s="3">
        <v>656</v>
      </c>
      <c r="L39" s="3">
        <f>Work[[#This Row],[Unit Price]]*Work[[#This Row],[Quantity]]</f>
        <v>2624</v>
      </c>
      <c r="M39" s="3">
        <f>Work[[#This Row],[Revenue]]*Work[[#This Row],[cost percentage]]</f>
        <v>2099.2000000000003</v>
      </c>
      <c r="N39" s="3">
        <f>Work[[#This Row],[Revenue]]-Work[[#This Row],[Cost]]</f>
        <v>524.79999999999973</v>
      </c>
      <c r="O39">
        <v>4</v>
      </c>
      <c r="P39" s="6">
        <f>Work[[#This Row],[Delivered Date]]-Work[[#This Row],[Order Date]]</f>
        <v>4</v>
      </c>
      <c r="Q39" t="s">
        <v>14</v>
      </c>
      <c r="R39" t="s">
        <v>33</v>
      </c>
      <c r="S39" t="s">
        <v>29</v>
      </c>
    </row>
    <row r="40" spans="1:19" x14ac:dyDescent="0.35">
      <c r="A40">
        <v>100</v>
      </c>
      <c r="B40" t="s">
        <v>146</v>
      </c>
      <c r="C40" t="s">
        <v>12</v>
      </c>
      <c r="D40" t="s">
        <v>27</v>
      </c>
      <c r="E40" s="9">
        <v>45342</v>
      </c>
      <c r="F40" s="9">
        <v>45346</v>
      </c>
      <c r="G40" s="4" t="str">
        <f>TEXT(Work[[#This Row],[Delivered Date]],"mmm")</f>
        <v>Feb</v>
      </c>
      <c r="H40" s="16">
        <f>MONTH(Work[[#This Row],[Delivered Date]])</f>
        <v>2</v>
      </c>
      <c r="I40" s="1" t="str">
        <f>TEXT(Work[[#This Row],[Delivered Date]],"ddd")</f>
        <v>Sat</v>
      </c>
      <c r="J40" s="4">
        <f>_xlfn.XLOOKUP(Work[[#This Row],[Product Name]],Cost[Product Name],Cost[Cost Percentage],"NA")</f>
        <v>0.65</v>
      </c>
      <c r="K40" s="3">
        <v>464</v>
      </c>
      <c r="L40" s="3">
        <f>Work[[#This Row],[Unit Price]]*Work[[#This Row],[Quantity]]</f>
        <v>928</v>
      </c>
      <c r="M40" s="3">
        <f>Work[[#This Row],[Revenue]]*Work[[#This Row],[cost percentage]]</f>
        <v>603.20000000000005</v>
      </c>
      <c r="N40" s="3">
        <f>Work[[#This Row],[Revenue]]-Work[[#This Row],[Cost]]</f>
        <v>324.79999999999995</v>
      </c>
      <c r="O40">
        <v>2</v>
      </c>
      <c r="P40" s="6">
        <f>Work[[#This Row],[Delivered Date]]-Work[[#This Row],[Order Date]]</f>
        <v>4</v>
      </c>
      <c r="Q40" t="s">
        <v>14</v>
      </c>
      <c r="R40" t="s">
        <v>551</v>
      </c>
      <c r="S40" t="s">
        <v>19</v>
      </c>
    </row>
    <row r="41" spans="1:19" x14ac:dyDescent="0.35">
      <c r="A41">
        <v>101</v>
      </c>
      <c r="B41" t="s">
        <v>147</v>
      </c>
      <c r="C41" t="s">
        <v>12</v>
      </c>
      <c r="D41" t="s">
        <v>96</v>
      </c>
      <c r="E41" s="9">
        <v>45320</v>
      </c>
      <c r="F41" s="9">
        <v>45327</v>
      </c>
      <c r="G41" s="4" t="str">
        <f>TEXT(Work[[#This Row],[Delivered Date]],"mmm")</f>
        <v>Feb</v>
      </c>
      <c r="H41" s="16">
        <f>MONTH(Work[[#This Row],[Delivered Date]])</f>
        <v>2</v>
      </c>
      <c r="I41" s="1" t="str">
        <f>TEXT(Work[[#This Row],[Delivered Date]],"ddd")</f>
        <v>Mon</v>
      </c>
      <c r="J41" s="4">
        <f>_xlfn.XLOOKUP(Work[[#This Row],[Product Name]],Cost[Product Name],Cost[Cost Percentage],"NA")</f>
        <v>0.7</v>
      </c>
      <c r="K41" s="3">
        <v>377</v>
      </c>
      <c r="L41" s="3">
        <f>Work[[#This Row],[Unit Price]]*Work[[#This Row],[Quantity]]</f>
        <v>1885</v>
      </c>
      <c r="M41" s="3">
        <f>Work[[#This Row],[Revenue]]*Work[[#This Row],[cost percentage]]</f>
        <v>1319.5</v>
      </c>
      <c r="N41" s="3">
        <f>Work[[#This Row],[Revenue]]-Work[[#This Row],[Cost]]</f>
        <v>565.5</v>
      </c>
      <c r="O41">
        <v>5</v>
      </c>
      <c r="P41" s="6">
        <f>Work[[#This Row],[Delivered Date]]-Work[[#This Row],[Order Date]]</f>
        <v>7</v>
      </c>
      <c r="Q41" t="s">
        <v>14</v>
      </c>
      <c r="R41" t="s">
        <v>547</v>
      </c>
      <c r="S41" t="s">
        <v>19</v>
      </c>
    </row>
    <row r="42" spans="1:19" x14ac:dyDescent="0.35">
      <c r="A42">
        <v>113</v>
      </c>
      <c r="B42" t="s">
        <v>159</v>
      </c>
      <c r="C42" t="s">
        <v>17</v>
      </c>
      <c r="D42" t="s">
        <v>64</v>
      </c>
      <c r="E42" s="9">
        <v>45327</v>
      </c>
      <c r="F42" s="9">
        <v>45335</v>
      </c>
      <c r="G42" s="4" t="str">
        <f>TEXT(Work[[#This Row],[Delivered Date]],"mmm")</f>
        <v>Feb</v>
      </c>
      <c r="H42" s="16">
        <f>MONTH(Work[[#This Row],[Delivered Date]])</f>
        <v>2</v>
      </c>
      <c r="I42" s="1" t="str">
        <f>TEXT(Work[[#This Row],[Delivered Date]],"ddd")</f>
        <v>Tue</v>
      </c>
      <c r="J42" s="4">
        <f>_xlfn.XLOOKUP(Work[[#This Row],[Product Name]],Cost[Product Name],Cost[Cost Percentage],"NA")</f>
        <v>0.5</v>
      </c>
      <c r="K42" s="3">
        <v>222</v>
      </c>
      <c r="L42" s="3">
        <f>Work[[#This Row],[Unit Price]]*Work[[#This Row],[Quantity]]</f>
        <v>1998</v>
      </c>
      <c r="M42" s="3">
        <f>Work[[#This Row],[Revenue]]*Work[[#This Row],[cost percentage]]</f>
        <v>999</v>
      </c>
      <c r="N42" s="3">
        <f>Work[[#This Row],[Revenue]]-Work[[#This Row],[Cost]]</f>
        <v>999</v>
      </c>
      <c r="O42">
        <v>9</v>
      </c>
      <c r="P42" s="6">
        <f>Work[[#This Row],[Delivered Date]]-Work[[#This Row],[Order Date]]</f>
        <v>8</v>
      </c>
      <c r="Q42" t="s">
        <v>14</v>
      </c>
      <c r="R42" t="s">
        <v>33</v>
      </c>
      <c r="S42" t="s">
        <v>19</v>
      </c>
    </row>
    <row r="43" spans="1:19" x14ac:dyDescent="0.35">
      <c r="A43">
        <v>132</v>
      </c>
      <c r="B43" t="s">
        <v>178</v>
      </c>
      <c r="C43" t="s">
        <v>17</v>
      </c>
      <c r="D43" t="s">
        <v>56</v>
      </c>
      <c r="E43" s="9">
        <v>45315</v>
      </c>
      <c r="F43" s="9">
        <v>45329</v>
      </c>
      <c r="G43" s="4" t="str">
        <f>TEXT(Work[[#This Row],[Delivered Date]],"mmm")</f>
        <v>Feb</v>
      </c>
      <c r="H43" s="16">
        <f>MONTH(Work[[#This Row],[Delivered Date]])</f>
        <v>2</v>
      </c>
      <c r="I43" s="1" t="str">
        <f>TEXT(Work[[#This Row],[Delivered Date]],"ddd")</f>
        <v>Wed</v>
      </c>
      <c r="J43" s="4">
        <f>_xlfn.XLOOKUP(Work[[#This Row],[Product Name]],Cost[Product Name],Cost[Cost Percentage],"NA")</f>
        <v>0.55000000000000004</v>
      </c>
      <c r="K43" s="3">
        <v>414</v>
      </c>
      <c r="L43" s="3">
        <f>Work[[#This Row],[Unit Price]]*Work[[#This Row],[Quantity]]</f>
        <v>1656</v>
      </c>
      <c r="M43" s="3">
        <f>Work[[#This Row],[Revenue]]*Work[[#This Row],[cost percentage]]</f>
        <v>910.80000000000007</v>
      </c>
      <c r="N43" s="3">
        <f>Work[[#This Row],[Revenue]]-Work[[#This Row],[Cost]]</f>
        <v>745.19999999999993</v>
      </c>
      <c r="O43">
        <v>4</v>
      </c>
      <c r="P43" s="6">
        <f>Work[[#This Row],[Delivered Date]]-Work[[#This Row],[Order Date]]</f>
        <v>14</v>
      </c>
      <c r="Q43" t="s">
        <v>14</v>
      </c>
      <c r="R43" t="s">
        <v>33</v>
      </c>
      <c r="S43" t="s">
        <v>15</v>
      </c>
    </row>
    <row r="44" spans="1:19" x14ac:dyDescent="0.35">
      <c r="A44">
        <v>162</v>
      </c>
      <c r="B44" t="s">
        <v>208</v>
      </c>
      <c r="C44" t="s">
        <v>12</v>
      </c>
      <c r="D44" t="s">
        <v>27</v>
      </c>
      <c r="E44" s="9">
        <v>45310</v>
      </c>
      <c r="F44" s="9">
        <v>45324</v>
      </c>
      <c r="G44" s="4" t="str">
        <f>TEXT(Work[[#This Row],[Delivered Date]],"mmm")</f>
        <v>Feb</v>
      </c>
      <c r="H44" s="16">
        <f>MONTH(Work[[#This Row],[Delivered Date]])</f>
        <v>2</v>
      </c>
      <c r="I44" s="1" t="str">
        <f>TEXT(Work[[#This Row],[Delivered Date]],"ddd")</f>
        <v>Fri</v>
      </c>
      <c r="J44" s="4">
        <f>_xlfn.XLOOKUP(Work[[#This Row],[Product Name]],Cost[Product Name],Cost[Cost Percentage],"NA")</f>
        <v>0.65</v>
      </c>
      <c r="K44" s="3">
        <v>216</v>
      </c>
      <c r="L44" s="3">
        <f>Work[[#This Row],[Unit Price]]*Work[[#This Row],[Quantity]]</f>
        <v>1080</v>
      </c>
      <c r="M44" s="3">
        <f>Work[[#This Row],[Revenue]]*Work[[#This Row],[cost percentage]]</f>
        <v>702</v>
      </c>
      <c r="N44" s="3">
        <f>Work[[#This Row],[Revenue]]-Work[[#This Row],[Cost]]</f>
        <v>378</v>
      </c>
      <c r="O44">
        <v>5</v>
      </c>
      <c r="P44" s="6">
        <f>Work[[#This Row],[Delivered Date]]-Work[[#This Row],[Order Date]]</f>
        <v>14</v>
      </c>
      <c r="Q44" t="s">
        <v>14</v>
      </c>
      <c r="R44" t="s">
        <v>551</v>
      </c>
      <c r="S44" t="s">
        <v>46</v>
      </c>
    </row>
    <row r="45" spans="1:19" x14ac:dyDescent="0.35">
      <c r="A45">
        <v>164</v>
      </c>
      <c r="B45" t="s">
        <v>210</v>
      </c>
      <c r="C45" t="s">
        <v>12</v>
      </c>
      <c r="D45" t="s">
        <v>27</v>
      </c>
      <c r="E45" s="9">
        <v>45332</v>
      </c>
      <c r="F45" s="9">
        <v>45340</v>
      </c>
      <c r="G45" s="4" t="str">
        <f>TEXT(Work[[#This Row],[Delivered Date]],"mmm")</f>
        <v>Feb</v>
      </c>
      <c r="H45" s="16">
        <f>MONTH(Work[[#This Row],[Delivered Date]])</f>
        <v>2</v>
      </c>
      <c r="I45" s="1" t="str">
        <f>TEXT(Work[[#This Row],[Delivered Date]],"ddd")</f>
        <v>Sun</v>
      </c>
      <c r="J45" s="4">
        <f>_xlfn.XLOOKUP(Work[[#This Row],[Product Name]],Cost[Product Name],Cost[Cost Percentage],"NA")</f>
        <v>0.65</v>
      </c>
      <c r="K45" s="3">
        <v>626</v>
      </c>
      <c r="L45" s="3">
        <f>Work[[#This Row],[Unit Price]]*Work[[#This Row],[Quantity]]</f>
        <v>4382</v>
      </c>
      <c r="M45" s="3">
        <f>Work[[#This Row],[Revenue]]*Work[[#This Row],[cost percentage]]</f>
        <v>2848.3</v>
      </c>
      <c r="N45" s="3">
        <f>Work[[#This Row],[Revenue]]-Work[[#This Row],[Cost]]</f>
        <v>1533.6999999999998</v>
      </c>
      <c r="O45">
        <v>7</v>
      </c>
      <c r="P45" s="6">
        <f>Work[[#This Row],[Delivered Date]]-Work[[#This Row],[Order Date]]</f>
        <v>8</v>
      </c>
      <c r="Q45" t="s">
        <v>28</v>
      </c>
      <c r="R45" t="s">
        <v>549</v>
      </c>
      <c r="S45" t="s">
        <v>29</v>
      </c>
    </row>
    <row r="46" spans="1:19" x14ac:dyDescent="0.35">
      <c r="A46">
        <v>215</v>
      </c>
      <c r="B46" t="s">
        <v>261</v>
      </c>
      <c r="C46" t="s">
        <v>12</v>
      </c>
      <c r="D46" t="s">
        <v>58</v>
      </c>
      <c r="E46" s="9">
        <v>45314</v>
      </c>
      <c r="F46" s="9">
        <v>45327</v>
      </c>
      <c r="G46" s="4" t="str">
        <f>TEXT(Work[[#This Row],[Delivered Date]],"mmm")</f>
        <v>Feb</v>
      </c>
      <c r="H46" s="16">
        <f>MONTH(Work[[#This Row],[Delivered Date]])</f>
        <v>2</v>
      </c>
      <c r="I46" s="1" t="str">
        <f>TEXT(Work[[#This Row],[Delivered Date]],"ddd")</f>
        <v>Mon</v>
      </c>
      <c r="J46" s="4">
        <f>_xlfn.XLOOKUP(Work[[#This Row],[Product Name]],Cost[Product Name],Cost[Cost Percentage],"NA")</f>
        <v>0.85</v>
      </c>
      <c r="K46" s="3">
        <v>459</v>
      </c>
      <c r="L46" s="3">
        <f>Work[[#This Row],[Unit Price]]*Work[[#This Row],[Quantity]]</f>
        <v>3213</v>
      </c>
      <c r="M46" s="3">
        <f>Work[[#This Row],[Revenue]]*Work[[#This Row],[cost percentage]]</f>
        <v>2731.0499999999997</v>
      </c>
      <c r="N46" s="3">
        <f>Work[[#This Row],[Revenue]]-Work[[#This Row],[Cost]]</f>
        <v>481.95000000000027</v>
      </c>
      <c r="O46">
        <v>7</v>
      </c>
      <c r="P46" s="6">
        <f>Work[[#This Row],[Delivered Date]]-Work[[#This Row],[Order Date]]</f>
        <v>13</v>
      </c>
      <c r="Q46" t="s">
        <v>14</v>
      </c>
      <c r="R46" t="s">
        <v>551</v>
      </c>
      <c r="S46" t="s">
        <v>19</v>
      </c>
    </row>
    <row r="47" spans="1:19" x14ac:dyDescent="0.35">
      <c r="A47">
        <v>233</v>
      </c>
      <c r="B47" t="s">
        <v>279</v>
      </c>
      <c r="C47" t="s">
        <v>31</v>
      </c>
      <c r="D47" t="s">
        <v>50</v>
      </c>
      <c r="E47" s="9">
        <v>45332</v>
      </c>
      <c r="F47" s="9">
        <v>45345</v>
      </c>
      <c r="G47" s="4" t="str">
        <f>TEXT(Work[[#This Row],[Delivered Date]],"mmm")</f>
        <v>Feb</v>
      </c>
      <c r="H47" s="16">
        <f>MONTH(Work[[#This Row],[Delivered Date]])</f>
        <v>2</v>
      </c>
      <c r="I47" s="1" t="str">
        <f>TEXT(Work[[#This Row],[Delivered Date]],"ddd")</f>
        <v>Fri</v>
      </c>
      <c r="J47" s="4">
        <f>_xlfn.XLOOKUP(Work[[#This Row],[Product Name]],Cost[Product Name],Cost[Cost Percentage],"NA")</f>
        <v>0.7</v>
      </c>
      <c r="K47" s="3">
        <v>992</v>
      </c>
      <c r="L47" s="3">
        <f>Work[[#This Row],[Unit Price]]*Work[[#This Row],[Quantity]]</f>
        <v>5952</v>
      </c>
      <c r="M47" s="3">
        <f>Work[[#This Row],[Revenue]]*Work[[#This Row],[cost percentage]]</f>
        <v>4166.3999999999996</v>
      </c>
      <c r="N47" s="3">
        <f>Work[[#This Row],[Revenue]]-Work[[#This Row],[Cost]]</f>
        <v>1785.6000000000004</v>
      </c>
      <c r="O47">
        <v>6</v>
      </c>
      <c r="P47" s="6">
        <f>Work[[#This Row],[Delivered Date]]-Work[[#This Row],[Order Date]]</f>
        <v>13</v>
      </c>
      <c r="Q47" t="s">
        <v>28</v>
      </c>
      <c r="R47" t="s">
        <v>550</v>
      </c>
      <c r="S47" t="s">
        <v>15</v>
      </c>
    </row>
    <row r="48" spans="1:19" x14ac:dyDescent="0.35">
      <c r="A48">
        <v>237</v>
      </c>
      <c r="B48" t="s">
        <v>283</v>
      </c>
      <c r="C48" t="s">
        <v>31</v>
      </c>
      <c r="D48" t="s">
        <v>76</v>
      </c>
      <c r="E48" s="9">
        <v>45330</v>
      </c>
      <c r="F48" s="9">
        <v>45343</v>
      </c>
      <c r="G48" s="4" t="str">
        <f>TEXT(Work[[#This Row],[Delivered Date]],"mmm")</f>
        <v>Feb</v>
      </c>
      <c r="H48" s="16">
        <f>MONTH(Work[[#This Row],[Delivered Date]])</f>
        <v>2</v>
      </c>
      <c r="I48" s="1" t="str">
        <f>TEXT(Work[[#This Row],[Delivered Date]],"ddd")</f>
        <v>Wed</v>
      </c>
      <c r="J48" s="4">
        <f>_xlfn.XLOOKUP(Work[[#This Row],[Product Name]],Cost[Product Name],Cost[Cost Percentage],"NA")</f>
        <v>0.75</v>
      </c>
      <c r="K48" s="3">
        <v>930</v>
      </c>
      <c r="L48" s="3">
        <f>Work[[#This Row],[Unit Price]]*Work[[#This Row],[Quantity]]</f>
        <v>4650</v>
      </c>
      <c r="M48" s="3">
        <f>Work[[#This Row],[Revenue]]*Work[[#This Row],[cost percentage]]</f>
        <v>3487.5</v>
      </c>
      <c r="N48" s="3">
        <f>Work[[#This Row],[Revenue]]-Work[[#This Row],[Cost]]</f>
        <v>1162.5</v>
      </c>
      <c r="O48">
        <v>5</v>
      </c>
      <c r="P48" s="6">
        <f>Work[[#This Row],[Delivered Date]]-Work[[#This Row],[Order Date]]</f>
        <v>13</v>
      </c>
      <c r="Q48" t="s">
        <v>28</v>
      </c>
      <c r="R48" t="s">
        <v>33</v>
      </c>
      <c r="S48" t="s">
        <v>19</v>
      </c>
    </row>
    <row r="49" spans="1:19" x14ac:dyDescent="0.35">
      <c r="A49">
        <v>241</v>
      </c>
      <c r="B49" t="s">
        <v>287</v>
      </c>
      <c r="C49" t="s">
        <v>21</v>
      </c>
      <c r="D49" t="s">
        <v>40</v>
      </c>
      <c r="E49" s="9">
        <v>45334</v>
      </c>
      <c r="F49" s="9">
        <v>45345</v>
      </c>
      <c r="G49" s="4" t="str">
        <f>TEXT(Work[[#This Row],[Delivered Date]],"mmm")</f>
        <v>Feb</v>
      </c>
      <c r="H49" s="16">
        <f>MONTH(Work[[#This Row],[Delivered Date]])</f>
        <v>2</v>
      </c>
      <c r="I49" s="1" t="str">
        <f>TEXT(Work[[#This Row],[Delivered Date]],"ddd")</f>
        <v>Fri</v>
      </c>
      <c r="J49" s="4">
        <f>_xlfn.XLOOKUP(Work[[#This Row],[Product Name]],Cost[Product Name],Cost[Cost Percentage],"NA")</f>
        <v>0.65</v>
      </c>
      <c r="K49" s="3">
        <v>167</v>
      </c>
      <c r="L49" s="3">
        <f>Work[[#This Row],[Unit Price]]*Work[[#This Row],[Quantity]]</f>
        <v>835</v>
      </c>
      <c r="M49" s="3">
        <f>Work[[#This Row],[Revenue]]*Work[[#This Row],[cost percentage]]</f>
        <v>542.75</v>
      </c>
      <c r="N49" s="3">
        <f>Work[[#This Row],[Revenue]]-Work[[#This Row],[Cost]]</f>
        <v>292.25</v>
      </c>
      <c r="O49">
        <v>5</v>
      </c>
      <c r="P49" s="6">
        <f>Work[[#This Row],[Delivered Date]]-Work[[#This Row],[Order Date]]</f>
        <v>11</v>
      </c>
      <c r="Q49" t="s">
        <v>28</v>
      </c>
      <c r="R49" t="s">
        <v>550</v>
      </c>
      <c r="S49" t="s">
        <v>29</v>
      </c>
    </row>
    <row r="50" spans="1:19" x14ac:dyDescent="0.35">
      <c r="A50">
        <v>244</v>
      </c>
      <c r="B50" t="s">
        <v>290</v>
      </c>
      <c r="C50" t="s">
        <v>31</v>
      </c>
      <c r="D50" t="s">
        <v>50</v>
      </c>
      <c r="E50" s="9">
        <v>45331</v>
      </c>
      <c r="F50" s="9">
        <v>45335</v>
      </c>
      <c r="G50" s="4" t="str">
        <f>TEXT(Work[[#This Row],[Delivered Date]],"mmm")</f>
        <v>Feb</v>
      </c>
      <c r="H50" s="16">
        <f>MONTH(Work[[#This Row],[Delivered Date]])</f>
        <v>2</v>
      </c>
      <c r="I50" s="1" t="str">
        <f>TEXT(Work[[#This Row],[Delivered Date]],"ddd")</f>
        <v>Tue</v>
      </c>
      <c r="J50" s="4">
        <f>_xlfn.XLOOKUP(Work[[#This Row],[Product Name]],Cost[Product Name],Cost[Cost Percentage],"NA")</f>
        <v>0.7</v>
      </c>
      <c r="K50" s="3">
        <v>267</v>
      </c>
      <c r="L50" s="3">
        <f>Work[[#This Row],[Unit Price]]*Work[[#This Row],[Quantity]]</f>
        <v>1602</v>
      </c>
      <c r="M50" s="3">
        <f>Work[[#This Row],[Revenue]]*Work[[#This Row],[cost percentage]]</f>
        <v>1121.3999999999999</v>
      </c>
      <c r="N50" s="3">
        <f>Work[[#This Row],[Revenue]]-Work[[#This Row],[Cost]]</f>
        <v>480.60000000000014</v>
      </c>
      <c r="O50">
        <v>6</v>
      </c>
      <c r="P50" s="6">
        <f>Work[[#This Row],[Delivered Date]]-Work[[#This Row],[Order Date]]</f>
        <v>4</v>
      </c>
      <c r="Q50" t="s">
        <v>28</v>
      </c>
      <c r="R50" t="s">
        <v>548</v>
      </c>
      <c r="S50" t="s">
        <v>29</v>
      </c>
    </row>
    <row r="51" spans="1:19" x14ac:dyDescent="0.35">
      <c r="A51">
        <v>260</v>
      </c>
      <c r="B51" t="s">
        <v>306</v>
      </c>
      <c r="C51" t="s">
        <v>24</v>
      </c>
      <c r="D51" t="s">
        <v>70</v>
      </c>
      <c r="E51" s="9">
        <v>45319</v>
      </c>
      <c r="F51" s="9">
        <v>45329</v>
      </c>
      <c r="G51" s="4" t="str">
        <f>TEXT(Work[[#This Row],[Delivered Date]],"mmm")</f>
        <v>Feb</v>
      </c>
      <c r="H51" s="16">
        <f>MONTH(Work[[#This Row],[Delivered Date]])</f>
        <v>2</v>
      </c>
      <c r="I51" s="1" t="str">
        <f>TEXT(Work[[#This Row],[Delivered Date]],"ddd")</f>
        <v>Wed</v>
      </c>
      <c r="J51" s="4">
        <f>_xlfn.XLOOKUP(Work[[#This Row],[Product Name]],Cost[Product Name],Cost[Cost Percentage],"NA")</f>
        <v>0.55000000000000004</v>
      </c>
      <c r="K51" s="3">
        <v>984</v>
      </c>
      <c r="L51" s="3">
        <f>Work[[#This Row],[Unit Price]]*Work[[#This Row],[Quantity]]</f>
        <v>5904</v>
      </c>
      <c r="M51" s="3">
        <f>Work[[#This Row],[Revenue]]*Work[[#This Row],[cost percentage]]</f>
        <v>3247.2000000000003</v>
      </c>
      <c r="N51" s="3">
        <f>Work[[#This Row],[Revenue]]-Work[[#This Row],[Cost]]</f>
        <v>2656.7999999999997</v>
      </c>
      <c r="O51">
        <v>6</v>
      </c>
      <c r="P51" s="6">
        <f>Work[[#This Row],[Delivered Date]]-Work[[#This Row],[Order Date]]</f>
        <v>10</v>
      </c>
      <c r="Q51" t="s">
        <v>14</v>
      </c>
      <c r="R51" t="s">
        <v>548</v>
      </c>
      <c r="S51" t="s">
        <v>46</v>
      </c>
    </row>
    <row r="52" spans="1:19" x14ac:dyDescent="0.35">
      <c r="A52">
        <v>270</v>
      </c>
      <c r="B52" t="s">
        <v>316</v>
      </c>
      <c r="C52" t="s">
        <v>24</v>
      </c>
      <c r="D52" t="s">
        <v>25</v>
      </c>
      <c r="E52" s="9">
        <v>45324</v>
      </c>
      <c r="F52" s="9">
        <v>45333</v>
      </c>
      <c r="G52" s="4" t="str">
        <f>TEXT(Work[[#This Row],[Delivered Date]],"mmm")</f>
        <v>Feb</v>
      </c>
      <c r="H52" s="16">
        <f>MONTH(Work[[#This Row],[Delivered Date]])</f>
        <v>2</v>
      </c>
      <c r="I52" s="1" t="str">
        <f>TEXT(Work[[#This Row],[Delivered Date]],"ddd")</f>
        <v>Sun</v>
      </c>
      <c r="J52" s="4">
        <f>_xlfn.XLOOKUP(Work[[#This Row],[Product Name]],Cost[Product Name],Cost[Cost Percentage],"NA")</f>
        <v>0.55000000000000004</v>
      </c>
      <c r="K52" s="3">
        <v>417</v>
      </c>
      <c r="L52" s="3">
        <f>Work[[#This Row],[Unit Price]]*Work[[#This Row],[Quantity]]</f>
        <v>3753</v>
      </c>
      <c r="M52" s="3">
        <f>Work[[#This Row],[Revenue]]*Work[[#This Row],[cost percentage]]</f>
        <v>2064.15</v>
      </c>
      <c r="N52" s="3">
        <f>Work[[#This Row],[Revenue]]-Work[[#This Row],[Cost]]</f>
        <v>1688.85</v>
      </c>
      <c r="O52">
        <v>9</v>
      </c>
      <c r="P52" s="6">
        <f>Work[[#This Row],[Delivered Date]]-Work[[#This Row],[Order Date]]</f>
        <v>9</v>
      </c>
      <c r="Q52" t="s">
        <v>14</v>
      </c>
      <c r="R52" t="s">
        <v>548</v>
      </c>
      <c r="S52" t="s">
        <v>46</v>
      </c>
    </row>
    <row r="53" spans="1:19" x14ac:dyDescent="0.35">
      <c r="A53">
        <v>285</v>
      </c>
      <c r="B53" t="s">
        <v>331</v>
      </c>
      <c r="C53" t="s">
        <v>12</v>
      </c>
      <c r="D53" t="s">
        <v>96</v>
      </c>
      <c r="E53" s="9">
        <v>45332</v>
      </c>
      <c r="F53" s="9">
        <v>45346</v>
      </c>
      <c r="G53" s="4" t="str">
        <f>TEXT(Work[[#This Row],[Delivered Date]],"mmm")</f>
        <v>Feb</v>
      </c>
      <c r="H53" s="16">
        <f>MONTH(Work[[#This Row],[Delivered Date]])</f>
        <v>2</v>
      </c>
      <c r="I53" s="1" t="str">
        <f>TEXT(Work[[#This Row],[Delivered Date]],"ddd")</f>
        <v>Sat</v>
      </c>
      <c r="J53" s="4">
        <f>_xlfn.XLOOKUP(Work[[#This Row],[Product Name]],Cost[Product Name],Cost[Cost Percentage],"NA")</f>
        <v>0.7</v>
      </c>
      <c r="K53" s="3">
        <v>953</v>
      </c>
      <c r="L53" s="3">
        <f>Work[[#This Row],[Unit Price]]*Work[[#This Row],[Quantity]]</f>
        <v>8577</v>
      </c>
      <c r="M53" s="3">
        <f>Work[[#This Row],[Revenue]]*Work[[#This Row],[cost percentage]]</f>
        <v>6003.9</v>
      </c>
      <c r="N53" s="3">
        <f>Work[[#This Row],[Revenue]]-Work[[#This Row],[Cost]]</f>
        <v>2573.1000000000004</v>
      </c>
      <c r="O53">
        <v>9</v>
      </c>
      <c r="P53" s="6">
        <f>Work[[#This Row],[Delivered Date]]-Work[[#This Row],[Order Date]]</f>
        <v>14</v>
      </c>
      <c r="Q53" t="s">
        <v>28</v>
      </c>
      <c r="R53" t="s">
        <v>548</v>
      </c>
      <c r="S53" t="s">
        <v>29</v>
      </c>
    </row>
    <row r="54" spans="1:19" x14ac:dyDescent="0.35">
      <c r="A54">
        <v>287</v>
      </c>
      <c r="B54" t="s">
        <v>333</v>
      </c>
      <c r="C54" t="s">
        <v>17</v>
      </c>
      <c r="D54" t="s">
        <v>60</v>
      </c>
      <c r="E54" s="9">
        <v>45320</v>
      </c>
      <c r="F54" s="9">
        <v>45324</v>
      </c>
      <c r="G54" s="4" t="str">
        <f>TEXT(Work[[#This Row],[Delivered Date]],"mmm")</f>
        <v>Feb</v>
      </c>
      <c r="H54" s="16">
        <f>MONTH(Work[[#This Row],[Delivered Date]])</f>
        <v>2</v>
      </c>
      <c r="I54" s="1" t="str">
        <f>TEXT(Work[[#This Row],[Delivered Date]],"ddd")</f>
        <v>Fri</v>
      </c>
      <c r="J54" s="4">
        <f>_xlfn.XLOOKUP(Work[[#This Row],[Product Name]],Cost[Product Name],Cost[Cost Percentage],"NA")</f>
        <v>0.65</v>
      </c>
      <c r="K54" s="3">
        <v>692</v>
      </c>
      <c r="L54" s="3">
        <f>Work[[#This Row],[Unit Price]]*Work[[#This Row],[Quantity]]</f>
        <v>3460</v>
      </c>
      <c r="M54" s="3">
        <f>Work[[#This Row],[Revenue]]*Work[[#This Row],[cost percentage]]</f>
        <v>2249</v>
      </c>
      <c r="N54" s="3">
        <f>Work[[#This Row],[Revenue]]-Work[[#This Row],[Cost]]</f>
        <v>1211</v>
      </c>
      <c r="O54">
        <v>5</v>
      </c>
      <c r="P54" s="6">
        <f>Work[[#This Row],[Delivered Date]]-Work[[#This Row],[Order Date]]</f>
        <v>4</v>
      </c>
      <c r="Q54" t="s">
        <v>14</v>
      </c>
      <c r="R54" t="s">
        <v>552</v>
      </c>
      <c r="S54" t="s">
        <v>19</v>
      </c>
    </row>
    <row r="55" spans="1:19" x14ac:dyDescent="0.35">
      <c r="A55">
        <v>307</v>
      </c>
      <c r="B55" t="s">
        <v>353</v>
      </c>
      <c r="C55" t="s">
        <v>24</v>
      </c>
      <c r="D55" t="s">
        <v>25</v>
      </c>
      <c r="E55" s="9">
        <v>45690</v>
      </c>
      <c r="F55" s="9">
        <v>45696</v>
      </c>
      <c r="G55" s="4" t="str">
        <f>TEXT(Work[[#This Row],[Delivered Date]],"mmm")</f>
        <v>Feb</v>
      </c>
      <c r="H55" s="16">
        <f>MONTH(Work[[#This Row],[Delivered Date]])</f>
        <v>2</v>
      </c>
      <c r="I55" s="1" t="str">
        <f>TEXT(Work[[#This Row],[Delivered Date]],"ddd")</f>
        <v>Sat</v>
      </c>
      <c r="J55" s="4">
        <f>_xlfn.XLOOKUP(Work[[#This Row],[Product Name]],Cost[Product Name],Cost[Cost Percentage],"NA")</f>
        <v>0.55000000000000004</v>
      </c>
      <c r="K55" s="3">
        <v>947</v>
      </c>
      <c r="L55" s="3">
        <f>Work[[#This Row],[Unit Price]]*Work[[#This Row],[Quantity]]</f>
        <v>1894</v>
      </c>
      <c r="M55" s="3">
        <f>Work[[#This Row],[Revenue]]*Work[[#This Row],[cost percentage]]</f>
        <v>1041.7</v>
      </c>
      <c r="N55" s="3">
        <f>Work[[#This Row],[Revenue]]-Work[[#This Row],[Cost]]</f>
        <v>852.3</v>
      </c>
      <c r="O55">
        <v>2</v>
      </c>
      <c r="P55" s="6">
        <f>Work[[#This Row],[Delivered Date]]-Work[[#This Row],[Order Date]]</f>
        <v>6</v>
      </c>
      <c r="Q55" t="s">
        <v>14</v>
      </c>
      <c r="R55" t="s">
        <v>550</v>
      </c>
      <c r="S55" t="s">
        <v>15</v>
      </c>
    </row>
    <row r="56" spans="1:19" x14ac:dyDescent="0.35">
      <c r="A56">
        <v>341</v>
      </c>
      <c r="B56" t="s">
        <v>387</v>
      </c>
      <c r="C56" t="s">
        <v>21</v>
      </c>
      <c r="D56" t="s">
        <v>83</v>
      </c>
      <c r="E56" s="9">
        <v>45710</v>
      </c>
      <c r="F56" s="9">
        <v>45712</v>
      </c>
      <c r="G56" s="4" t="str">
        <f>TEXT(Work[[#This Row],[Delivered Date]],"mmm")</f>
        <v>Feb</v>
      </c>
      <c r="H56" s="16">
        <f>MONTH(Work[[#This Row],[Delivered Date]])</f>
        <v>2</v>
      </c>
      <c r="I56" s="1" t="str">
        <f>TEXT(Work[[#This Row],[Delivered Date]],"ddd")</f>
        <v>Mon</v>
      </c>
      <c r="J56" s="4">
        <f>_xlfn.XLOOKUP(Work[[#This Row],[Product Name]],Cost[Product Name],Cost[Cost Percentage],"NA")</f>
        <v>0.8</v>
      </c>
      <c r="K56" s="3">
        <v>405</v>
      </c>
      <c r="L56" s="3">
        <f>Work[[#This Row],[Unit Price]]*Work[[#This Row],[Quantity]]</f>
        <v>3240</v>
      </c>
      <c r="M56" s="3">
        <f>Work[[#This Row],[Revenue]]*Work[[#This Row],[cost percentage]]</f>
        <v>2592</v>
      </c>
      <c r="N56" s="3">
        <f>Work[[#This Row],[Revenue]]-Work[[#This Row],[Cost]]</f>
        <v>648</v>
      </c>
      <c r="O56">
        <v>8</v>
      </c>
      <c r="P56" s="6">
        <f>Work[[#This Row],[Delivered Date]]-Work[[#This Row],[Order Date]]</f>
        <v>2</v>
      </c>
      <c r="Q56" t="s">
        <v>14</v>
      </c>
      <c r="R56" t="s">
        <v>547</v>
      </c>
      <c r="S56" t="s">
        <v>19</v>
      </c>
    </row>
    <row r="57" spans="1:19" x14ac:dyDescent="0.35">
      <c r="A57">
        <v>351</v>
      </c>
      <c r="B57" t="s">
        <v>397</v>
      </c>
      <c r="C57" t="s">
        <v>21</v>
      </c>
      <c r="D57" t="s">
        <v>40</v>
      </c>
      <c r="E57" s="9">
        <v>45702</v>
      </c>
      <c r="F57" s="9">
        <v>45712</v>
      </c>
      <c r="G57" s="4" t="str">
        <f>TEXT(Work[[#This Row],[Delivered Date]],"mmm")</f>
        <v>Feb</v>
      </c>
      <c r="H57" s="16">
        <f>MONTH(Work[[#This Row],[Delivered Date]])</f>
        <v>2</v>
      </c>
      <c r="I57" s="1" t="str">
        <f>TEXT(Work[[#This Row],[Delivered Date]],"ddd")</f>
        <v>Mon</v>
      </c>
      <c r="J57" s="4">
        <f>_xlfn.XLOOKUP(Work[[#This Row],[Product Name]],Cost[Product Name],Cost[Cost Percentage],"NA")</f>
        <v>0.65</v>
      </c>
      <c r="K57" s="3">
        <v>503</v>
      </c>
      <c r="L57" s="3">
        <f>Work[[#This Row],[Unit Price]]*Work[[#This Row],[Quantity]]</f>
        <v>5030</v>
      </c>
      <c r="M57" s="3">
        <f>Work[[#This Row],[Revenue]]*Work[[#This Row],[cost percentage]]</f>
        <v>3269.5</v>
      </c>
      <c r="N57" s="3">
        <f>Work[[#This Row],[Revenue]]-Work[[#This Row],[Cost]]</f>
        <v>1760.5</v>
      </c>
      <c r="O57">
        <v>10</v>
      </c>
      <c r="P57" s="6">
        <f>Work[[#This Row],[Delivered Date]]-Work[[#This Row],[Order Date]]</f>
        <v>10</v>
      </c>
      <c r="Q57" t="s">
        <v>28</v>
      </c>
      <c r="R57" t="s">
        <v>550</v>
      </c>
      <c r="S57" t="s">
        <v>46</v>
      </c>
    </row>
    <row r="58" spans="1:19" x14ac:dyDescent="0.35">
      <c r="A58">
        <v>358</v>
      </c>
      <c r="B58" t="s">
        <v>404</v>
      </c>
      <c r="C58" t="s">
        <v>21</v>
      </c>
      <c r="D58" t="s">
        <v>83</v>
      </c>
      <c r="E58" s="9">
        <v>45700</v>
      </c>
      <c r="F58" s="9">
        <v>45701</v>
      </c>
      <c r="G58" s="4" t="str">
        <f>TEXT(Work[[#This Row],[Delivered Date]],"mmm")</f>
        <v>Feb</v>
      </c>
      <c r="H58" s="16">
        <f>MONTH(Work[[#This Row],[Delivered Date]])</f>
        <v>2</v>
      </c>
      <c r="I58" s="1" t="str">
        <f>TEXT(Work[[#This Row],[Delivered Date]],"ddd")</f>
        <v>Thu</v>
      </c>
      <c r="J58" s="4">
        <f>_xlfn.XLOOKUP(Work[[#This Row],[Product Name]],Cost[Product Name],Cost[Cost Percentage],"NA")</f>
        <v>0.8</v>
      </c>
      <c r="K58" s="3">
        <v>509</v>
      </c>
      <c r="L58" s="3">
        <f>Work[[#This Row],[Unit Price]]*Work[[#This Row],[Quantity]]</f>
        <v>4072</v>
      </c>
      <c r="M58" s="3">
        <f>Work[[#This Row],[Revenue]]*Work[[#This Row],[cost percentage]]</f>
        <v>3257.6000000000004</v>
      </c>
      <c r="N58" s="3">
        <f>Work[[#This Row],[Revenue]]-Work[[#This Row],[Cost]]</f>
        <v>814.39999999999964</v>
      </c>
      <c r="O58">
        <v>8</v>
      </c>
      <c r="P58" s="6">
        <f>Work[[#This Row],[Delivered Date]]-Work[[#This Row],[Order Date]]</f>
        <v>1</v>
      </c>
      <c r="Q58" t="s">
        <v>14</v>
      </c>
      <c r="R58" t="s">
        <v>33</v>
      </c>
      <c r="S58" t="s">
        <v>19</v>
      </c>
    </row>
    <row r="59" spans="1:19" x14ac:dyDescent="0.35">
      <c r="A59">
        <v>359</v>
      </c>
      <c r="B59" t="s">
        <v>405</v>
      </c>
      <c r="C59" t="s">
        <v>31</v>
      </c>
      <c r="D59" t="s">
        <v>42</v>
      </c>
      <c r="E59" s="9">
        <v>45692</v>
      </c>
      <c r="F59" s="9">
        <v>45707</v>
      </c>
      <c r="G59" s="4" t="str">
        <f>TEXT(Work[[#This Row],[Delivered Date]],"mmm")</f>
        <v>Feb</v>
      </c>
      <c r="H59" s="16">
        <f>MONTH(Work[[#This Row],[Delivered Date]])</f>
        <v>2</v>
      </c>
      <c r="I59" s="1" t="str">
        <f>TEXT(Work[[#This Row],[Delivered Date]],"ddd")</f>
        <v>Wed</v>
      </c>
      <c r="J59" s="4">
        <f>_xlfn.XLOOKUP(Work[[#This Row],[Product Name]],Cost[Product Name],Cost[Cost Percentage],"NA")</f>
        <v>0.65</v>
      </c>
      <c r="K59" s="3">
        <v>530</v>
      </c>
      <c r="L59" s="3">
        <f>Work[[#This Row],[Unit Price]]*Work[[#This Row],[Quantity]]</f>
        <v>1060</v>
      </c>
      <c r="M59" s="3">
        <f>Work[[#This Row],[Revenue]]*Work[[#This Row],[cost percentage]]</f>
        <v>689</v>
      </c>
      <c r="N59" s="3">
        <f>Work[[#This Row],[Revenue]]-Work[[#This Row],[Cost]]</f>
        <v>371</v>
      </c>
      <c r="O59">
        <v>2</v>
      </c>
      <c r="P59" s="6">
        <f>Work[[#This Row],[Delivered Date]]-Work[[#This Row],[Order Date]]</f>
        <v>15</v>
      </c>
      <c r="Q59" t="s">
        <v>28</v>
      </c>
      <c r="R59" t="s">
        <v>551</v>
      </c>
      <c r="S59" t="s">
        <v>46</v>
      </c>
    </row>
    <row r="60" spans="1:19" x14ac:dyDescent="0.35">
      <c r="A60">
        <v>375</v>
      </c>
      <c r="B60" t="s">
        <v>421</v>
      </c>
      <c r="C60" t="s">
        <v>21</v>
      </c>
      <c r="D60" t="s">
        <v>54</v>
      </c>
      <c r="E60" s="9">
        <v>45704</v>
      </c>
      <c r="F60" s="9">
        <v>45710</v>
      </c>
      <c r="G60" s="4" t="str">
        <f>TEXT(Work[[#This Row],[Delivered Date]],"mmm")</f>
        <v>Feb</v>
      </c>
      <c r="H60" s="16">
        <f>MONTH(Work[[#This Row],[Delivered Date]])</f>
        <v>2</v>
      </c>
      <c r="I60" s="1" t="str">
        <f>TEXT(Work[[#This Row],[Delivered Date]],"ddd")</f>
        <v>Sat</v>
      </c>
      <c r="J60" s="4">
        <f>_xlfn.XLOOKUP(Work[[#This Row],[Product Name]],Cost[Product Name],Cost[Cost Percentage],"NA")</f>
        <v>0.7</v>
      </c>
      <c r="K60" s="3">
        <v>678</v>
      </c>
      <c r="L60" s="3">
        <f>Work[[#This Row],[Unit Price]]*Work[[#This Row],[Quantity]]</f>
        <v>4068</v>
      </c>
      <c r="M60" s="3">
        <f>Work[[#This Row],[Revenue]]*Work[[#This Row],[cost percentage]]</f>
        <v>2847.6</v>
      </c>
      <c r="N60" s="3">
        <f>Work[[#This Row],[Revenue]]-Work[[#This Row],[Cost]]</f>
        <v>1220.4000000000001</v>
      </c>
      <c r="O60">
        <v>6</v>
      </c>
      <c r="P60" s="6">
        <f>Work[[#This Row],[Delivered Date]]-Work[[#This Row],[Order Date]]</f>
        <v>6</v>
      </c>
      <c r="Q60" t="s">
        <v>28</v>
      </c>
      <c r="R60" t="s">
        <v>551</v>
      </c>
      <c r="S60" t="s">
        <v>46</v>
      </c>
    </row>
    <row r="61" spans="1:19" x14ac:dyDescent="0.35">
      <c r="A61">
        <v>377</v>
      </c>
      <c r="B61" t="s">
        <v>423</v>
      </c>
      <c r="C61" t="s">
        <v>21</v>
      </c>
      <c r="D61" t="s">
        <v>54</v>
      </c>
      <c r="E61" s="9">
        <v>45701</v>
      </c>
      <c r="F61" s="9">
        <v>45715</v>
      </c>
      <c r="G61" s="4" t="str">
        <f>TEXT(Work[[#This Row],[Delivered Date]],"mmm")</f>
        <v>Feb</v>
      </c>
      <c r="H61" s="16">
        <f>MONTH(Work[[#This Row],[Delivered Date]])</f>
        <v>2</v>
      </c>
      <c r="I61" s="1" t="str">
        <f>TEXT(Work[[#This Row],[Delivered Date]],"ddd")</f>
        <v>Thu</v>
      </c>
      <c r="J61" s="4">
        <f>_xlfn.XLOOKUP(Work[[#This Row],[Product Name]],Cost[Product Name],Cost[Cost Percentage],"NA")</f>
        <v>0.7</v>
      </c>
      <c r="K61" s="3">
        <v>262</v>
      </c>
      <c r="L61" s="3">
        <f>Work[[#This Row],[Unit Price]]*Work[[#This Row],[Quantity]]</f>
        <v>786</v>
      </c>
      <c r="M61" s="3">
        <f>Work[[#This Row],[Revenue]]*Work[[#This Row],[cost percentage]]</f>
        <v>550.19999999999993</v>
      </c>
      <c r="N61" s="3">
        <f>Work[[#This Row],[Revenue]]-Work[[#This Row],[Cost]]</f>
        <v>235.80000000000007</v>
      </c>
      <c r="O61">
        <v>3</v>
      </c>
      <c r="P61" s="6">
        <f>Work[[#This Row],[Delivered Date]]-Work[[#This Row],[Order Date]]</f>
        <v>14</v>
      </c>
      <c r="Q61" t="s">
        <v>28</v>
      </c>
      <c r="R61" t="s">
        <v>550</v>
      </c>
      <c r="S61" t="s">
        <v>19</v>
      </c>
    </row>
    <row r="62" spans="1:19" x14ac:dyDescent="0.35">
      <c r="A62">
        <v>382</v>
      </c>
      <c r="B62" t="s">
        <v>428</v>
      </c>
      <c r="C62" t="s">
        <v>21</v>
      </c>
      <c r="D62" t="s">
        <v>54</v>
      </c>
      <c r="E62" s="9">
        <v>45695</v>
      </c>
      <c r="F62" s="9">
        <v>45706</v>
      </c>
      <c r="G62" s="4" t="str">
        <f>TEXT(Work[[#This Row],[Delivered Date]],"mmm")</f>
        <v>Feb</v>
      </c>
      <c r="H62" s="16">
        <f>MONTH(Work[[#This Row],[Delivered Date]])</f>
        <v>2</v>
      </c>
      <c r="I62" s="1" t="str">
        <f>TEXT(Work[[#This Row],[Delivered Date]],"ddd")</f>
        <v>Tue</v>
      </c>
      <c r="J62" s="4">
        <f>_xlfn.XLOOKUP(Work[[#This Row],[Product Name]],Cost[Product Name],Cost[Cost Percentage],"NA")</f>
        <v>0.7</v>
      </c>
      <c r="K62" s="3">
        <v>215</v>
      </c>
      <c r="L62" s="3">
        <f>Work[[#This Row],[Unit Price]]*Work[[#This Row],[Quantity]]</f>
        <v>1075</v>
      </c>
      <c r="M62" s="3">
        <f>Work[[#This Row],[Revenue]]*Work[[#This Row],[cost percentage]]</f>
        <v>752.5</v>
      </c>
      <c r="N62" s="3">
        <f>Work[[#This Row],[Revenue]]-Work[[#This Row],[Cost]]</f>
        <v>322.5</v>
      </c>
      <c r="O62">
        <v>5</v>
      </c>
      <c r="P62" s="6">
        <f>Work[[#This Row],[Delivered Date]]-Work[[#This Row],[Order Date]]</f>
        <v>11</v>
      </c>
      <c r="Q62" t="s">
        <v>28</v>
      </c>
      <c r="R62" t="s">
        <v>33</v>
      </c>
      <c r="S62" t="s">
        <v>19</v>
      </c>
    </row>
    <row r="63" spans="1:19" x14ac:dyDescent="0.35">
      <c r="A63">
        <v>384</v>
      </c>
      <c r="B63" t="s">
        <v>430</v>
      </c>
      <c r="C63" t="s">
        <v>21</v>
      </c>
      <c r="D63" t="s">
        <v>22</v>
      </c>
      <c r="E63" s="9">
        <v>45695</v>
      </c>
      <c r="F63" s="9">
        <v>45704</v>
      </c>
      <c r="G63" s="4" t="str">
        <f>TEXT(Work[[#This Row],[Delivered Date]],"mmm")</f>
        <v>Feb</v>
      </c>
      <c r="H63" s="16">
        <f>MONTH(Work[[#This Row],[Delivered Date]])</f>
        <v>2</v>
      </c>
      <c r="I63" s="1" t="str">
        <f>TEXT(Work[[#This Row],[Delivered Date]],"ddd")</f>
        <v>Sun</v>
      </c>
      <c r="J63" s="4">
        <f>_xlfn.XLOOKUP(Work[[#This Row],[Product Name]],Cost[Product Name],Cost[Cost Percentage],"NA")</f>
        <v>0.75</v>
      </c>
      <c r="K63" s="3">
        <v>461</v>
      </c>
      <c r="L63" s="3">
        <f>Work[[#This Row],[Unit Price]]*Work[[#This Row],[Quantity]]</f>
        <v>922</v>
      </c>
      <c r="M63" s="3">
        <f>Work[[#This Row],[Revenue]]*Work[[#This Row],[cost percentage]]</f>
        <v>691.5</v>
      </c>
      <c r="N63" s="3">
        <f>Work[[#This Row],[Revenue]]-Work[[#This Row],[Cost]]</f>
        <v>230.5</v>
      </c>
      <c r="O63">
        <v>2</v>
      </c>
      <c r="P63" s="6">
        <f>Work[[#This Row],[Delivered Date]]-Work[[#This Row],[Order Date]]</f>
        <v>9</v>
      </c>
      <c r="Q63" t="s">
        <v>28</v>
      </c>
      <c r="R63" t="s">
        <v>549</v>
      </c>
      <c r="S63" t="s">
        <v>19</v>
      </c>
    </row>
    <row r="64" spans="1:19" x14ac:dyDescent="0.35">
      <c r="A64">
        <v>399</v>
      </c>
      <c r="B64" t="s">
        <v>445</v>
      </c>
      <c r="C64" t="s">
        <v>12</v>
      </c>
      <c r="D64" t="s">
        <v>13</v>
      </c>
      <c r="E64" s="9">
        <v>45678</v>
      </c>
      <c r="F64" s="9">
        <v>45693</v>
      </c>
      <c r="G64" s="4" t="str">
        <f>TEXT(Work[[#This Row],[Delivered Date]],"mmm")</f>
        <v>Feb</v>
      </c>
      <c r="H64" s="16">
        <f>MONTH(Work[[#This Row],[Delivered Date]])</f>
        <v>2</v>
      </c>
      <c r="I64" s="1" t="str">
        <f>TEXT(Work[[#This Row],[Delivered Date]],"ddd")</f>
        <v>Wed</v>
      </c>
      <c r="J64" s="4">
        <f>_xlfn.XLOOKUP(Work[[#This Row],[Product Name]],Cost[Product Name],Cost[Cost Percentage],"NA")</f>
        <v>0.75</v>
      </c>
      <c r="K64" s="3">
        <v>102</v>
      </c>
      <c r="L64" s="3">
        <f>Work[[#This Row],[Unit Price]]*Work[[#This Row],[Quantity]]</f>
        <v>102</v>
      </c>
      <c r="M64" s="3">
        <f>Work[[#This Row],[Revenue]]*Work[[#This Row],[cost percentage]]</f>
        <v>76.5</v>
      </c>
      <c r="N64" s="3">
        <f>Work[[#This Row],[Revenue]]-Work[[#This Row],[Cost]]</f>
        <v>25.5</v>
      </c>
      <c r="O64">
        <v>1</v>
      </c>
      <c r="P64" s="6">
        <f>Work[[#This Row],[Delivered Date]]-Work[[#This Row],[Order Date]]</f>
        <v>15</v>
      </c>
      <c r="Q64" t="s">
        <v>28</v>
      </c>
      <c r="R64" t="s">
        <v>551</v>
      </c>
      <c r="S64" t="s">
        <v>19</v>
      </c>
    </row>
    <row r="65" spans="1:19" x14ac:dyDescent="0.35">
      <c r="A65">
        <v>405</v>
      </c>
      <c r="B65" t="s">
        <v>451</v>
      </c>
      <c r="C65" t="s">
        <v>17</v>
      </c>
      <c r="D65" t="s">
        <v>64</v>
      </c>
      <c r="E65" s="9">
        <v>45707</v>
      </c>
      <c r="F65" s="9">
        <v>45711</v>
      </c>
      <c r="G65" s="4" t="str">
        <f>TEXT(Work[[#This Row],[Delivered Date]],"mmm")</f>
        <v>Feb</v>
      </c>
      <c r="H65" s="16">
        <f>MONTH(Work[[#This Row],[Delivered Date]])</f>
        <v>2</v>
      </c>
      <c r="I65" s="1" t="str">
        <f>TEXT(Work[[#This Row],[Delivered Date]],"ddd")</f>
        <v>Sun</v>
      </c>
      <c r="J65" s="4">
        <f>_xlfn.XLOOKUP(Work[[#This Row],[Product Name]],Cost[Product Name],Cost[Cost Percentage],"NA")</f>
        <v>0.5</v>
      </c>
      <c r="K65" s="3">
        <v>855</v>
      </c>
      <c r="L65" s="3">
        <f>Work[[#This Row],[Unit Price]]*Work[[#This Row],[Quantity]]</f>
        <v>5985</v>
      </c>
      <c r="M65" s="3">
        <f>Work[[#This Row],[Revenue]]*Work[[#This Row],[cost percentage]]</f>
        <v>2992.5</v>
      </c>
      <c r="N65" s="3">
        <f>Work[[#This Row],[Revenue]]-Work[[#This Row],[Cost]]</f>
        <v>2992.5</v>
      </c>
      <c r="O65">
        <v>7</v>
      </c>
      <c r="P65" s="6">
        <f>Work[[#This Row],[Delivered Date]]-Work[[#This Row],[Order Date]]</f>
        <v>4</v>
      </c>
      <c r="Q65" t="s">
        <v>28</v>
      </c>
      <c r="R65" t="s">
        <v>550</v>
      </c>
      <c r="S65" t="s">
        <v>15</v>
      </c>
    </row>
    <row r="66" spans="1:19" x14ac:dyDescent="0.35">
      <c r="A66">
        <v>421</v>
      </c>
      <c r="B66" t="s">
        <v>467</v>
      </c>
      <c r="C66" t="s">
        <v>17</v>
      </c>
      <c r="D66" t="s">
        <v>56</v>
      </c>
      <c r="E66" s="9">
        <v>45698</v>
      </c>
      <c r="F66" s="9">
        <v>45707</v>
      </c>
      <c r="G66" s="4" t="str">
        <f>TEXT(Work[[#This Row],[Delivered Date]],"mmm")</f>
        <v>Feb</v>
      </c>
      <c r="H66" s="16">
        <f>MONTH(Work[[#This Row],[Delivered Date]])</f>
        <v>2</v>
      </c>
      <c r="I66" s="1" t="str">
        <f>TEXT(Work[[#This Row],[Delivered Date]],"ddd")</f>
        <v>Wed</v>
      </c>
      <c r="J66" s="4">
        <f>_xlfn.XLOOKUP(Work[[#This Row],[Product Name]],Cost[Product Name],Cost[Cost Percentage],"NA")</f>
        <v>0.55000000000000004</v>
      </c>
      <c r="K66" s="3">
        <v>200</v>
      </c>
      <c r="L66" s="3">
        <f>Work[[#This Row],[Unit Price]]*Work[[#This Row],[Quantity]]</f>
        <v>200</v>
      </c>
      <c r="M66" s="3">
        <f>Work[[#This Row],[Revenue]]*Work[[#This Row],[cost percentage]]</f>
        <v>110.00000000000001</v>
      </c>
      <c r="N66" s="3">
        <f>Work[[#This Row],[Revenue]]-Work[[#This Row],[Cost]]</f>
        <v>89.999999999999986</v>
      </c>
      <c r="O66">
        <v>1</v>
      </c>
      <c r="P66" s="6">
        <f>Work[[#This Row],[Delivered Date]]-Work[[#This Row],[Order Date]]</f>
        <v>9</v>
      </c>
      <c r="Q66" t="s">
        <v>28</v>
      </c>
      <c r="R66" t="s">
        <v>549</v>
      </c>
      <c r="S66" t="s">
        <v>19</v>
      </c>
    </row>
    <row r="67" spans="1:19" x14ac:dyDescent="0.35">
      <c r="A67">
        <v>422</v>
      </c>
      <c r="B67" t="s">
        <v>468</v>
      </c>
      <c r="C67" t="s">
        <v>12</v>
      </c>
      <c r="D67" t="s">
        <v>13</v>
      </c>
      <c r="E67" s="9">
        <v>45694</v>
      </c>
      <c r="F67" s="9">
        <v>45703</v>
      </c>
      <c r="G67" s="4" t="str">
        <f>TEXT(Work[[#This Row],[Delivered Date]],"mmm")</f>
        <v>Feb</v>
      </c>
      <c r="H67" s="16">
        <f>MONTH(Work[[#This Row],[Delivered Date]])</f>
        <v>2</v>
      </c>
      <c r="I67" s="1" t="str">
        <f>TEXT(Work[[#This Row],[Delivered Date]],"ddd")</f>
        <v>Sat</v>
      </c>
      <c r="J67" s="4">
        <f>_xlfn.XLOOKUP(Work[[#This Row],[Product Name]],Cost[Product Name],Cost[Cost Percentage],"NA")</f>
        <v>0.75</v>
      </c>
      <c r="K67" s="3">
        <v>356</v>
      </c>
      <c r="L67" s="3">
        <f>Work[[#This Row],[Unit Price]]*Work[[#This Row],[Quantity]]</f>
        <v>1068</v>
      </c>
      <c r="M67" s="3">
        <f>Work[[#This Row],[Revenue]]*Work[[#This Row],[cost percentage]]</f>
        <v>801</v>
      </c>
      <c r="N67" s="3">
        <f>Work[[#This Row],[Revenue]]-Work[[#This Row],[Cost]]</f>
        <v>267</v>
      </c>
      <c r="O67">
        <v>3</v>
      </c>
      <c r="P67" s="6">
        <f>Work[[#This Row],[Delivered Date]]-Work[[#This Row],[Order Date]]</f>
        <v>9</v>
      </c>
      <c r="Q67" t="s">
        <v>14</v>
      </c>
      <c r="R67" t="s">
        <v>549</v>
      </c>
      <c r="S67" t="s">
        <v>46</v>
      </c>
    </row>
    <row r="68" spans="1:19" x14ac:dyDescent="0.35">
      <c r="A68">
        <v>426</v>
      </c>
      <c r="B68" t="s">
        <v>472</v>
      </c>
      <c r="C68" t="s">
        <v>31</v>
      </c>
      <c r="D68" t="s">
        <v>32</v>
      </c>
      <c r="E68" s="9">
        <v>45693</v>
      </c>
      <c r="F68" s="9">
        <v>45702</v>
      </c>
      <c r="G68" s="4" t="str">
        <f>TEXT(Work[[#This Row],[Delivered Date]],"mmm")</f>
        <v>Feb</v>
      </c>
      <c r="H68" s="16">
        <f>MONTH(Work[[#This Row],[Delivered Date]])</f>
        <v>2</v>
      </c>
      <c r="I68" s="1" t="str">
        <f>TEXT(Work[[#This Row],[Delivered Date]],"ddd")</f>
        <v>Fri</v>
      </c>
      <c r="J68" s="4">
        <f>_xlfn.XLOOKUP(Work[[#This Row],[Product Name]],Cost[Product Name],Cost[Cost Percentage],"NA")</f>
        <v>0.75</v>
      </c>
      <c r="K68" s="3">
        <v>356</v>
      </c>
      <c r="L68" s="3">
        <f>Work[[#This Row],[Unit Price]]*Work[[#This Row],[Quantity]]</f>
        <v>3560</v>
      </c>
      <c r="M68" s="3">
        <f>Work[[#This Row],[Revenue]]*Work[[#This Row],[cost percentage]]</f>
        <v>2670</v>
      </c>
      <c r="N68" s="3">
        <f>Work[[#This Row],[Revenue]]-Work[[#This Row],[Cost]]</f>
        <v>890</v>
      </c>
      <c r="O68">
        <v>10</v>
      </c>
      <c r="P68" s="6">
        <f>Work[[#This Row],[Delivered Date]]-Work[[#This Row],[Order Date]]</f>
        <v>9</v>
      </c>
      <c r="Q68" t="s">
        <v>14</v>
      </c>
      <c r="R68" t="s">
        <v>547</v>
      </c>
      <c r="S68" t="s">
        <v>46</v>
      </c>
    </row>
    <row r="69" spans="1:19" x14ac:dyDescent="0.35">
      <c r="A69">
        <v>438</v>
      </c>
      <c r="B69" t="s">
        <v>484</v>
      </c>
      <c r="C69" t="s">
        <v>24</v>
      </c>
      <c r="D69" t="s">
        <v>70</v>
      </c>
      <c r="E69" s="9">
        <v>45707</v>
      </c>
      <c r="F69" s="9">
        <v>45713</v>
      </c>
      <c r="G69" s="4" t="str">
        <f>TEXT(Work[[#This Row],[Delivered Date]],"mmm")</f>
        <v>Feb</v>
      </c>
      <c r="H69" s="16">
        <f>MONTH(Work[[#This Row],[Delivered Date]])</f>
        <v>2</v>
      </c>
      <c r="I69" s="1" t="str">
        <f>TEXT(Work[[#This Row],[Delivered Date]],"ddd")</f>
        <v>Tue</v>
      </c>
      <c r="J69" s="4">
        <f>_xlfn.XLOOKUP(Work[[#This Row],[Product Name]],Cost[Product Name],Cost[Cost Percentage],"NA")</f>
        <v>0.55000000000000004</v>
      </c>
      <c r="K69" s="3">
        <v>471</v>
      </c>
      <c r="L69" s="3">
        <f>Work[[#This Row],[Unit Price]]*Work[[#This Row],[Quantity]]</f>
        <v>3297</v>
      </c>
      <c r="M69" s="3">
        <f>Work[[#This Row],[Revenue]]*Work[[#This Row],[cost percentage]]</f>
        <v>1813.3500000000001</v>
      </c>
      <c r="N69" s="3">
        <f>Work[[#This Row],[Revenue]]-Work[[#This Row],[Cost]]</f>
        <v>1483.6499999999999</v>
      </c>
      <c r="O69">
        <v>7</v>
      </c>
      <c r="P69" s="6">
        <f>Work[[#This Row],[Delivered Date]]-Work[[#This Row],[Order Date]]</f>
        <v>6</v>
      </c>
      <c r="Q69" t="s">
        <v>28</v>
      </c>
      <c r="R69" t="s">
        <v>551</v>
      </c>
      <c r="S69" t="s">
        <v>46</v>
      </c>
    </row>
    <row r="70" spans="1:19" x14ac:dyDescent="0.35">
      <c r="A70">
        <v>468</v>
      </c>
      <c r="B70" t="s">
        <v>514</v>
      </c>
      <c r="C70" t="s">
        <v>12</v>
      </c>
      <c r="D70" t="s">
        <v>27</v>
      </c>
      <c r="E70" s="9">
        <v>45680</v>
      </c>
      <c r="F70" s="9">
        <v>45689</v>
      </c>
      <c r="G70" s="4" t="str">
        <f>TEXT(Work[[#This Row],[Delivered Date]],"mmm")</f>
        <v>Feb</v>
      </c>
      <c r="H70" s="16">
        <f>MONTH(Work[[#This Row],[Delivered Date]])</f>
        <v>2</v>
      </c>
      <c r="I70" s="1" t="str">
        <f>TEXT(Work[[#This Row],[Delivered Date]],"ddd")</f>
        <v>Sat</v>
      </c>
      <c r="J70" s="4">
        <f>_xlfn.XLOOKUP(Work[[#This Row],[Product Name]],Cost[Product Name],Cost[Cost Percentage],"NA")</f>
        <v>0.65</v>
      </c>
      <c r="K70" s="3">
        <v>498</v>
      </c>
      <c r="L70" s="3">
        <f>Work[[#This Row],[Unit Price]]*Work[[#This Row],[Quantity]]</f>
        <v>4482</v>
      </c>
      <c r="M70" s="3">
        <f>Work[[#This Row],[Revenue]]*Work[[#This Row],[cost percentage]]</f>
        <v>2913.3</v>
      </c>
      <c r="N70" s="3">
        <f>Work[[#This Row],[Revenue]]-Work[[#This Row],[Cost]]</f>
        <v>1568.6999999999998</v>
      </c>
      <c r="O70">
        <v>9</v>
      </c>
      <c r="P70" s="6">
        <f>Work[[#This Row],[Delivered Date]]-Work[[#This Row],[Order Date]]</f>
        <v>9</v>
      </c>
      <c r="Q70" t="s">
        <v>14</v>
      </c>
      <c r="R70" t="s">
        <v>551</v>
      </c>
      <c r="S70" t="s">
        <v>46</v>
      </c>
    </row>
    <row r="71" spans="1:19" x14ac:dyDescent="0.35">
      <c r="A71">
        <v>470</v>
      </c>
      <c r="B71" t="s">
        <v>516</v>
      </c>
      <c r="C71" t="s">
        <v>24</v>
      </c>
      <c r="D71" t="s">
        <v>38</v>
      </c>
      <c r="E71" s="9">
        <v>45681</v>
      </c>
      <c r="F71" s="9">
        <v>45691</v>
      </c>
      <c r="G71" s="4" t="str">
        <f>TEXT(Work[[#This Row],[Delivered Date]],"mmm")</f>
        <v>Feb</v>
      </c>
      <c r="H71" s="16">
        <f>MONTH(Work[[#This Row],[Delivered Date]])</f>
        <v>2</v>
      </c>
      <c r="I71" s="1" t="str">
        <f>TEXT(Work[[#This Row],[Delivered Date]],"ddd")</f>
        <v>Mon</v>
      </c>
      <c r="J71" s="4">
        <f>_xlfn.XLOOKUP(Work[[#This Row],[Product Name]],Cost[Product Name],Cost[Cost Percentage],"NA")</f>
        <v>0.5</v>
      </c>
      <c r="K71" s="3">
        <v>909</v>
      </c>
      <c r="L71" s="3">
        <f>Work[[#This Row],[Unit Price]]*Work[[#This Row],[Quantity]]</f>
        <v>909</v>
      </c>
      <c r="M71" s="3">
        <f>Work[[#This Row],[Revenue]]*Work[[#This Row],[cost percentage]]</f>
        <v>454.5</v>
      </c>
      <c r="N71" s="3">
        <f>Work[[#This Row],[Revenue]]-Work[[#This Row],[Cost]]</f>
        <v>454.5</v>
      </c>
      <c r="O71">
        <v>1</v>
      </c>
      <c r="P71" s="6">
        <f>Work[[#This Row],[Delivered Date]]-Work[[#This Row],[Order Date]]</f>
        <v>10</v>
      </c>
      <c r="Q71" t="s">
        <v>28</v>
      </c>
      <c r="R71" t="s">
        <v>33</v>
      </c>
      <c r="S71" t="s">
        <v>15</v>
      </c>
    </row>
    <row r="72" spans="1:19" x14ac:dyDescent="0.35">
      <c r="A72">
        <v>481</v>
      </c>
      <c r="B72" t="s">
        <v>527</v>
      </c>
      <c r="C72" t="s">
        <v>17</v>
      </c>
      <c r="D72" t="s">
        <v>56</v>
      </c>
      <c r="E72" s="9">
        <v>45689</v>
      </c>
      <c r="F72" s="9">
        <v>45693</v>
      </c>
      <c r="G72" s="4" t="str">
        <f>TEXT(Work[[#This Row],[Delivered Date]],"mmm")</f>
        <v>Feb</v>
      </c>
      <c r="H72" s="16">
        <f>MONTH(Work[[#This Row],[Delivered Date]])</f>
        <v>2</v>
      </c>
      <c r="I72" s="1" t="str">
        <f>TEXT(Work[[#This Row],[Delivered Date]],"ddd")</f>
        <v>Wed</v>
      </c>
      <c r="J72" s="4">
        <f>_xlfn.XLOOKUP(Work[[#This Row],[Product Name]],Cost[Product Name],Cost[Cost Percentage],"NA")</f>
        <v>0.55000000000000004</v>
      </c>
      <c r="K72" s="3">
        <v>439</v>
      </c>
      <c r="L72" s="3">
        <f>Work[[#This Row],[Unit Price]]*Work[[#This Row],[Quantity]]</f>
        <v>1756</v>
      </c>
      <c r="M72" s="3">
        <f>Work[[#This Row],[Revenue]]*Work[[#This Row],[cost percentage]]</f>
        <v>965.80000000000007</v>
      </c>
      <c r="N72" s="3">
        <f>Work[[#This Row],[Revenue]]-Work[[#This Row],[Cost]]</f>
        <v>790.19999999999993</v>
      </c>
      <c r="O72">
        <v>4</v>
      </c>
      <c r="P72" s="6">
        <f>Work[[#This Row],[Delivered Date]]-Work[[#This Row],[Order Date]]</f>
        <v>4</v>
      </c>
      <c r="Q72" t="s">
        <v>14</v>
      </c>
      <c r="R72" t="s">
        <v>550</v>
      </c>
      <c r="S72" t="s">
        <v>29</v>
      </c>
    </row>
    <row r="73" spans="1:19" x14ac:dyDescent="0.35">
      <c r="A73">
        <v>483</v>
      </c>
      <c r="B73" t="s">
        <v>529</v>
      </c>
      <c r="C73" t="s">
        <v>12</v>
      </c>
      <c r="D73" t="s">
        <v>27</v>
      </c>
      <c r="E73" s="9">
        <v>45704</v>
      </c>
      <c r="F73" s="9">
        <v>45708</v>
      </c>
      <c r="G73" s="4" t="str">
        <f>TEXT(Work[[#This Row],[Delivered Date]],"mmm")</f>
        <v>Feb</v>
      </c>
      <c r="H73" s="16">
        <f>MONTH(Work[[#This Row],[Delivered Date]])</f>
        <v>2</v>
      </c>
      <c r="I73" s="1" t="str">
        <f>TEXT(Work[[#This Row],[Delivered Date]],"ddd")</f>
        <v>Thu</v>
      </c>
      <c r="J73" s="4">
        <f>_xlfn.XLOOKUP(Work[[#This Row],[Product Name]],Cost[Product Name],Cost[Cost Percentage],"NA")</f>
        <v>0.65</v>
      </c>
      <c r="K73" s="3">
        <v>314</v>
      </c>
      <c r="L73" s="3">
        <f>Work[[#This Row],[Unit Price]]*Work[[#This Row],[Quantity]]</f>
        <v>1570</v>
      </c>
      <c r="M73" s="3">
        <f>Work[[#This Row],[Revenue]]*Work[[#This Row],[cost percentage]]</f>
        <v>1020.5</v>
      </c>
      <c r="N73" s="3">
        <f>Work[[#This Row],[Revenue]]-Work[[#This Row],[Cost]]</f>
        <v>549.5</v>
      </c>
      <c r="O73">
        <v>5</v>
      </c>
      <c r="P73" s="6">
        <f>Work[[#This Row],[Delivered Date]]-Work[[#This Row],[Order Date]]</f>
        <v>4</v>
      </c>
      <c r="Q73" t="s">
        <v>14</v>
      </c>
      <c r="R73" t="s">
        <v>33</v>
      </c>
      <c r="S73" t="s">
        <v>29</v>
      </c>
    </row>
    <row r="74" spans="1:19" x14ac:dyDescent="0.35">
      <c r="A74">
        <v>497</v>
      </c>
      <c r="B74" t="s">
        <v>59</v>
      </c>
      <c r="C74" t="s">
        <v>31</v>
      </c>
      <c r="D74" t="s">
        <v>76</v>
      </c>
      <c r="E74" s="9">
        <v>45691</v>
      </c>
      <c r="F74" s="9">
        <v>45696</v>
      </c>
      <c r="G74" s="4" t="str">
        <f>TEXT(Work[[#This Row],[Delivered Date]],"mmm")</f>
        <v>Feb</v>
      </c>
      <c r="H74" s="16">
        <f>MONTH(Work[[#This Row],[Delivered Date]])</f>
        <v>2</v>
      </c>
      <c r="I74" s="1" t="str">
        <f>TEXT(Work[[#This Row],[Delivered Date]],"ddd")</f>
        <v>Sat</v>
      </c>
      <c r="J74" s="4">
        <f>_xlfn.XLOOKUP(Work[[#This Row],[Product Name]],Cost[Product Name],Cost[Cost Percentage],"NA")</f>
        <v>0.75</v>
      </c>
      <c r="K74" s="3">
        <v>811</v>
      </c>
      <c r="L74" s="3">
        <f>Work[[#This Row],[Unit Price]]*Work[[#This Row],[Quantity]]</f>
        <v>5677</v>
      </c>
      <c r="M74" s="3">
        <f>Work[[#This Row],[Revenue]]*Work[[#This Row],[cost percentage]]</f>
        <v>4257.75</v>
      </c>
      <c r="N74" s="3">
        <f>Work[[#This Row],[Revenue]]-Work[[#This Row],[Cost]]</f>
        <v>1419.25</v>
      </c>
      <c r="O74">
        <v>7</v>
      </c>
      <c r="P74" s="6">
        <f>Work[[#This Row],[Delivered Date]]-Work[[#This Row],[Order Date]]</f>
        <v>5</v>
      </c>
      <c r="Q74" t="s">
        <v>28</v>
      </c>
      <c r="R74" t="s">
        <v>550</v>
      </c>
      <c r="S74" t="s">
        <v>15</v>
      </c>
    </row>
    <row r="75" spans="1:19" x14ac:dyDescent="0.35">
      <c r="A75">
        <v>507</v>
      </c>
      <c r="B75" t="s">
        <v>72</v>
      </c>
      <c r="C75" t="s">
        <v>21</v>
      </c>
      <c r="D75" t="s">
        <v>83</v>
      </c>
      <c r="E75" s="9">
        <v>45691</v>
      </c>
      <c r="F75" s="9">
        <v>45699</v>
      </c>
      <c r="G75" s="4" t="str">
        <f>TEXT(Work[[#This Row],[Delivered Date]],"mmm")</f>
        <v>Feb</v>
      </c>
      <c r="H75" s="16">
        <f>MONTH(Work[[#This Row],[Delivered Date]])</f>
        <v>2</v>
      </c>
      <c r="I75" s="1" t="str">
        <f>TEXT(Work[[#This Row],[Delivered Date]],"ddd")</f>
        <v>Tue</v>
      </c>
      <c r="J75" s="4">
        <f>_xlfn.XLOOKUP(Work[[#This Row],[Product Name]],Cost[Product Name],Cost[Cost Percentage],"NA")</f>
        <v>0.8</v>
      </c>
      <c r="K75" s="3">
        <v>703</v>
      </c>
      <c r="L75" s="3">
        <f>Work[[#This Row],[Unit Price]]*Work[[#This Row],[Quantity]]</f>
        <v>2109</v>
      </c>
      <c r="M75" s="3">
        <f>Work[[#This Row],[Revenue]]*Work[[#This Row],[cost percentage]]</f>
        <v>1687.2</v>
      </c>
      <c r="N75" s="3">
        <f>Work[[#This Row],[Revenue]]-Work[[#This Row],[Cost]]</f>
        <v>421.79999999999995</v>
      </c>
      <c r="O75">
        <v>3</v>
      </c>
      <c r="P75" s="6">
        <f>Work[[#This Row],[Delivered Date]]-Work[[#This Row],[Order Date]]</f>
        <v>8</v>
      </c>
      <c r="Q75" t="s">
        <v>14</v>
      </c>
      <c r="R75" t="s">
        <v>547</v>
      </c>
      <c r="S75" t="s">
        <v>29</v>
      </c>
    </row>
    <row r="76" spans="1:19" x14ac:dyDescent="0.35">
      <c r="A76">
        <v>513</v>
      </c>
      <c r="B76" t="s">
        <v>80</v>
      </c>
      <c r="C76" t="s">
        <v>12</v>
      </c>
      <c r="D76" t="s">
        <v>58</v>
      </c>
      <c r="E76" s="9">
        <v>45693</v>
      </c>
      <c r="F76" s="9">
        <v>45694</v>
      </c>
      <c r="G76" s="4" t="str">
        <f>TEXT(Work[[#This Row],[Delivered Date]],"mmm")</f>
        <v>Feb</v>
      </c>
      <c r="H76" s="16">
        <f>MONTH(Work[[#This Row],[Delivered Date]])</f>
        <v>2</v>
      </c>
      <c r="I76" s="1" t="str">
        <f>TEXT(Work[[#This Row],[Delivered Date]],"ddd")</f>
        <v>Thu</v>
      </c>
      <c r="J76" s="4">
        <f>_xlfn.XLOOKUP(Work[[#This Row],[Product Name]],Cost[Product Name],Cost[Cost Percentage],"NA")</f>
        <v>0.85</v>
      </c>
      <c r="K76" s="3">
        <v>572</v>
      </c>
      <c r="L76" s="3">
        <f>Work[[#This Row],[Unit Price]]*Work[[#This Row],[Quantity]]</f>
        <v>2288</v>
      </c>
      <c r="M76" s="3">
        <f>Work[[#This Row],[Revenue]]*Work[[#This Row],[cost percentage]]</f>
        <v>1944.8</v>
      </c>
      <c r="N76" s="3">
        <f>Work[[#This Row],[Revenue]]-Work[[#This Row],[Cost]]</f>
        <v>343.20000000000005</v>
      </c>
      <c r="O76">
        <v>4</v>
      </c>
      <c r="P76" s="6">
        <f>Work[[#This Row],[Delivered Date]]-Work[[#This Row],[Order Date]]</f>
        <v>1</v>
      </c>
      <c r="Q76" t="s">
        <v>14</v>
      </c>
      <c r="R76" t="s">
        <v>550</v>
      </c>
      <c r="S76" t="s">
        <v>29</v>
      </c>
    </row>
    <row r="77" spans="1:19" x14ac:dyDescent="0.35">
      <c r="A77">
        <v>514</v>
      </c>
      <c r="B77" t="s">
        <v>81</v>
      </c>
      <c r="C77" t="s">
        <v>31</v>
      </c>
      <c r="D77" t="s">
        <v>42</v>
      </c>
      <c r="E77" s="9">
        <v>45678</v>
      </c>
      <c r="F77" s="9">
        <v>45692</v>
      </c>
      <c r="G77" s="4" t="str">
        <f>TEXT(Work[[#This Row],[Delivered Date]],"mmm")</f>
        <v>Feb</v>
      </c>
      <c r="H77" s="16">
        <f>MONTH(Work[[#This Row],[Delivered Date]])</f>
        <v>2</v>
      </c>
      <c r="I77" s="1" t="str">
        <f>TEXT(Work[[#This Row],[Delivered Date]],"ddd")</f>
        <v>Tue</v>
      </c>
      <c r="J77" s="4">
        <f>_xlfn.XLOOKUP(Work[[#This Row],[Product Name]],Cost[Product Name],Cost[Cost Percentage],"NA")</f>
        <v>0.65</v>
      </c>
      <c r="K77" s="3">
        <v>849</v>
      </c>
      <c r="L77" s="3">
        <f>Work[[#This Row],[Unit Price]]*Work[[#This Row],[Quantity]]</f>
        <v>6792</v>
      </c>
      <c r="M77" s="3">
        <f>Work[[#This Row],[Revenue]]*Work[[#This Row],[cost percentage]]</f>
        <v>4414.8</v>
      </c>
      <c r="N77" s="3">
        <f>Work[[#This Row],[Revenue]]-Work[[#This Row],[Cost]]</f>
        <v>2377.1999999999998</v>
      </c>
      <c r="O77">
        <v>8</v>
      </c>
      <c r="P77" s="6">
        <f>Work[[#This Row],[Delivered Date]]-Work[[#This Row],[Order Date]]</f>
        <v>14</v>
      </c>
      <c r="Q77" t="s">
        <v>28</v>
      </c>
      <c r="R77" t="s">
        <v>551</v>
      </c>
      <c r="S77" t="s">
        <v>19</v>
      </c>
    </row>
    <row r="78" spans="1:19" x14ac:dyDescent="0.35">
      <c r="A78">
        <v>528</v>
      </c>
      <c r="B78" t="s">
        <v>97</v>
      </c>
      <c r="C78" t="s">
        <v>31</v>
      </c>
      <c r="D78" t="s">
        <v>50</v>
      </c>
      <c r="E78" s="9">
        <v>45706</v>
      </c>
      <c r="F78" s="9">
        <v>45712</v>
      </c>
      <c r="G78" s="4" t="str">
        <f>TEXT(Work[[#This Row],[Delivered Date]],"mmm")</f>
        <v>Feb</v>
      </c>
      <c r="H78" s="16">
        <f>MONTH(Work[[#This Row],[Delivered Date]])</f>
        <v>2</v>
      </c>
      <c r="I78" s="1" t="str">
        <f>TEXT(Work[[#This Row],[Delivered Date]],"ddd")</f>
        <v>Mon</v>
      </c>
      <c r="J78" s="4">
        <f>_xlfn.XLOOKUP(Work[[#This Row],[Product Name]],Cost[Product Name],Cost[Cost Percentage],"NA")</f>
        <v>0.7</v>
      </c>
      <c r="K78" s="3">
        <v>745</v>
      </c>
      <c r="L78" s="3">
        <f>Work[[#This Row],[Unit Price]]*Work[[#This Row],[Quantity]]</f>
        <v>5960</v>
      </c>
      <c r="M78" s="3">
        <f>Work[[#This Row],[Revenue]]*Work[[#This Row],[cost percentage]]</f>
        <v>4172</v>
      </c>
      <c r="N78" s="3">
        <f>Work[[#This Row],[Revenue]]-Work[[#This Row],[Cost]]</f>
        <v>1788</v>
      </c>
      <c r="O78">
        <v>8</v>
      </c>
      <c r="P78" s="6">
        <f>Work[[#This Row],[Delivered Date]]-Work[[#This Row],[Order Date]]</f>
        <v>6</v>
      </c>
      <c r="Q78" t="s">
        <v>28</v>
      </c>
      <c r="R78" t="s">
        <v>33</v>
      </c>
      <c r="S78" t="s">
        <v>29</v>
      </c>
    </row>
    <row r="79" spans="1:19" x14ac:dyDescent="0.35">
      <c r="A79">
        <v>533</v>
      </c>
      <c r="B79" t="s">
        <v>103</v>
      </c>
      <c r="C79" t="s">
        <v>24</v>
      </c>
      <c r="D79" t="s">
        <v>38</v>
      </c>
      <c r="E79" s="9">
        <v>45711</v>
      </c>
      <c r="F79" s="9">
        <v>45714</v>
      </c>
      <c r="G79" s="4" t="str">
        <f>TEXT(Work[[#This Row],[Delivered Date]],"mmm")</f>
        <v>Feb</v>
      </c>
      <c r="H79" s="16">
        <f>MONTH(Work[[#This Row],[Delivered Date]])</f>
        <v>2</v>
      </c>
      <c r="I79" s="1" t="str">
        <f>TEXT(Work[[#This Row],[Delivered Date]],"ddd")</f>
        <v>Wed</v>
      </c>
      <c r="J79" s="4">
        <f>_xlfn.XLOOKUP(Work[[#This Row],[Product Name]],Cost[Product Name],Cost[Cost Percentage],"NA")</f>
        <v>0.5</v>
      </c>
      <c r="K79" s="3">
        <v>10</v>
      </c>
      <c r="L79" s="3">
        <f>Work[[#This Row],[Unit Price]]*Work[[#This Row],[Quantity]]</f>
        <v>90</v>
      </c>
      <c r="M79" s="3">
        <f>Work[[#This Row],[Revenue]]*Work[[#This Row],[cost percentage]]</f>
        <v>45</v>
      </c>
      <c r="N79" s="3">
        <f>Work[[#This Row],[Revenue]]-Work[[#This Row],[Cost]]</f>
        <v>45</v>
      </c>
      <c r="O79">
        <v>9</v>
      </c>
      <c r="P79" s="6">
        <f>Work[[#This Row],[Delivered Date]]-Work[[#This Row],[Order Date]]</f>
        <v>3</v>
      </c>
      <c r="Q79" t="s">
        <v>14</v>
      </c>
      <c r="R79" t="s">
        <v>551</v>
      </c>
      <c r="S79" t="s">
        <v>46</v>
      </c>
    </row>
    <row r="80" spans="1:19" x14ac:dyDescent="0.35">
      <c r="A80">
        <v>541</v>
      </c>
      <c r="B80" t="s">
        <v>534</v>
      </c>
      <c r="C80" t="s">
        <v>21</v>
      </c>
      <c r="D80" t="s">
        <v>54</v>
      </c>
      <c r="E80" s="9">
        <v>45698</v>
      </c>
      <c r="F80" s="9">
        <v>45699</v>
      </c>
      <c r="G80" s="4" t="str">
        <f>TEXT(Work[[#This Row],[Delivered Date]],"mmm")</f>
        <v>Feb</v>
      </c>
      <c r="H80" s="16">
        <f>MONTH(Work[[#This Row],[Delivered Date]])</f>
        <v>2</v>
      </c>
      <c r="I80" s="1" t="str">
        <f>TEXT(Work[[#This Row],[Delivered Date]],"ddd")</f>
        <v>Tue</v>
      </c>
      <c r="J80" s="4">
        <f>_xlfn.XLOOKUP(Work[[#This Row],[Product Name]],Cost[Product Name],Cost[Cost Percentage],"NA")</f>
        <v>0.7</v>
      </c>
      <c r="K80" s="3">
        <v>288</v>
      </c>
      <c r="L80" s="3">
        <f>Work[[#This Row],[Unit Price]]*Work[[#This Row],[Quantity]]</f>
        <v>864</v>
      </c>
      <c r="M80" s="3">
        <f>Work[[#This Row],[Revenue]]*Work[[#This Row],[cost percentage]]</f>
        <v>604.79999999999995</v>
      </c>
      <c r="N80" s="3">
        <f>Work[[#This Row],[Revenue]]-Work[[#This Row],[Cost]]</f>
        <v>259.20000000000005</v>
      </c>
      <c r="O80">
        <v>3</v>
      </c>
      <c r="P80" s="6">
        <f>Work[[#This Row],[Delivered Date]]-Work[[#This Row],[Order Date]]</f>
        <v>1</v>
      </c>
      <c r="Q80" t="s">
        <v>14</v>
      </c>
      <c r="R80" t="s">
        <v>551</v>
      </c>
      <c r="S80" t="s">
        <v>46</v>
      </c>
    </row>
    <row r="81" spans="1:19" x14ac:dyDescent="0.35">
      <c r="A81">
        <v>13</v>
      </c>
      <c r="B81" t="s">
        <v>45</v>
      </c>
      <c r="C81" t="s">
        <v>12</v>
      </c>
      <c r="D81" t="s">
        <v>13</v>
      </c>
      <c r="E81" s="9">
        <v>45370</v>
      </c>
      <c r="F81" s="9">
        <v>45380</v>
      </c>
      <c r="G81" s="4" t="str">
        <f>TEXT(Work[[#This Row],[Delivered Date]],"mmm")</f>
        <v>Mar</v>
      </c>
      <c r="H81" s="16">
        <f>MONTH(Work[[#This Row],[Delivered Date]])</f>
        <v>3</v>
      </c>
      <c r="I81" s="1" t="str">
        <f>TEXT(Work[[#This Row],[Delivered Date]],"ddd")</f>
        <v>Fri</v>
      </c>
      <c r="J81" s="4">
        <f>_xlfn.XLOOKUP(Work[[#This Row],[Product Name]],Cost[Product Name],Cost[Cost Percentage],"NA")</f>
        <v>0.75</v>
      </c>
      <c r="K81" s="3">
        <v>821</v>
      </c>
      <c r="L81" s="3">
        <f>Work[[#This Row],[Unit Price]]*Work[[#This Row],[Quantity]]</f>
        <v>2463</v>
      </c>
      <c r="M81" s="3">
        <f>Work[[#This Row],[Revenue]]*Work[[#This Row],[cost percentage]]</f>
        <v>1847.25</v>
      </c>
      <c r="N81" s="3">
        <f>Work[[#This Row],[Revenue]]-Work[[#This Row],[Cost]]</f>
        <v>615.75</v>
      </c>
      <c r="O81">
        <v>3</v>
      </c>
      <c r="P81" s="6">
        <f>Work[[#This Row],[Delivered Date]]-Work[[#This Row],[Order Date]]</f>
        <v>10</v>
      </c>
      <c r="Q81" t="s">
        <v>28</v>
      </c>
      <c r="R81" t="s">
        <v>33</v>
      </c>
      <c r="S81" t="s">
        <v>46</v>
      </c>
    </row>
    <row r="82" spans="1:19" x14ac:dyDescent="0.35">
      <c r="A82">
        <v>16</v>
      </c>
      <c r="B82" t="s">
        <v>49</v>
      </c>
      <c r="C82" t="s">
        <v>31</v>
      </c>
      <c r="D82" t="s">
        <v>50</v>
      </c>
      <c r="E82" s="9">
        <v>45372</v>
      </c>
      <c r="F82" s="9">
        <v>45380</v>
      </c>
      <c r="G82" s="4" t="str">
        <f>TEXT(Work[[#This Row],[Delivered Date]],"mmm")</f>
        <v>Mar</v>
      </c>
      <c r="H82" s="16">
        <f>MONTH(Work[[#This Row],[Delivered Date]])</f>
        <v>3</v>
      </c>
      <c r="I82" s="1" t="str">
        <f>TEXT(Work[[#This Row],[Delivered Date]],"ddd")</f>
        <v>Fri</v>
      </c>
      <c r="J82" s="4">
        <f>_xlfn.XLOOKUP(Work[[#This Row],[Product Name]],Cost[Product Name],Cost[Cost Percentage],"NA")</f>
        <v>0.7</v>
      </c>
      <c r="K82" s="3">
        <v>13</v>
      </c>
      <c r="L82" s="3">
        <f>Work[[#This Row],[Unit Price]]*Work[[#This Row],[Quantity]]</f>
        <v>104</v>
      </c>
      <c r="M82" s="3">
        <f>Work[[#This Row],[Revenue]]*Work[[#This Row],[cost percentage]]</f>
        <v>72.8</v>
      </c>
      <c r="N82" s="3">
        <f>Work[[#This Row],[Revenue]]-Work[[#This Row],[Cost]]</f>
        <v>31.200000000000003</v>
      </c>
      <c r="O82">
        <v>8</v>
      </c>
      <c r="P82" s="6">
        <f>Work[[#This Row],[Delivered Date]]-Work[[#This Row],[Order Date]]</f>
        <v>8</v>
      </c>
      <c r="Q82" t="s">
        <v>28</v>
      </c>
      <c r="R82" t="s">
        <v>33</v>
      </c>
      <c r="S82" t="s">
        <v>46</v>
      </c>
    </row>
    <row r="83" spans="1:19" x14ac:dyDescent="0.35">
      <c r="A83">
        <v>17</v>
      </c>
      <c r="B83" t="s">
        <v>51</v>
      </c>
      <c r="C83" t="s">
        <v>21</v>
      </c>
      <c r="D83" t="s">
        <v>52</v>
      </c>
      <c r="E83" s="9">
        <v>45346</v>
      </c>
      <c r="F83" s="9">
        <v>45354</v>
      </c>
      <c r="G83" s="4" t="str">
        <f>TEXT(Work[[#This Row],[Delivered Date]],"mmm")</f>
        <v>Mar</v>
      </c>
      <c r="H83" s="16">
        <f>MONTH(Work[[#This Row],[Delivered Date]])</f>
        <v>3</v>
      </c>
      <c r="I83" s="1" t="str">
        <f>TEXT(Work[[#This Row],[Delivered Date]],"ddd")</f>
        <v>Sun</v>
      </c>
      <c r="J83" s="4">
        <f>_xlfn.XLOOKUP(Work[[#This Row],[Product Name]],Cost[Product Name],Cost[Cost Percentage],"NA")</f>
        <v>0.7</v>
      </c>
      <c r="K83" s="3">
        <v>871</v>
      </c>
      <c r="L83" s="3">
        <f>Work[[#This Row],[Unit Price]]*Work[[#This Row],[Quantity]]</f>
        <v>4355</v>
      </c>
      <c r="M83" s="3">
        <f>Work[[#This Row],[Revenue]]*Work[[#This Row],[cost percentage]]</f>
        <v>3048.5</v>
      </c>
      <c r="N83" s="3">
        <f>Work[[#This Row],[Revenue]]-Work[[#This Row],[Cost]]</f>
        <v>1306.5</v>
      </c>
      <c r="O83">
        <v>5</v>
      </c>
      <c r="P83" s="6">
        <f>Work[[#This Row],[Delivered Date]]-Work[[#This Row],[Order Date]]</f>
        <v>8</v>
      </c>
      <c r="Q83" t="s">
        <v>28</v>
      </c>
      <c r="R83" t="s">
        <v>33</v>
      </c>
      <c r="S83" t="s">
        <v>15</v>
      </c>
    </row>
    <row r="84" spans="1:19" x14ac:dyDescent="0.35">
      <c r="A84">
        <v>56</v>
      </c>
      <c r="B84" t="s">
        <v>101</v>
      </c>
      <c r="C84" t="s">
        <v>12</v>
      </c>
      <c r="D84" t="s">
        <v>27</v>
      </c>
      <c r="E84" s="9">
        <v>45360</v>
      </c>
      <c r="F84" s="9">
        <v>45364</v>
      </c>
      <c r="G84" s="4" t="str">
        <f>TEXT(Work[[#This Row],[Delivered Date]],"mmm")</f>
        <v>Mar</v>
      </c>
      <c r="H84" s="16">
        <f>MONTH(Work[[#This Row],[Delivered Date]])</f>
        <v>3</v>
      </c>
      <c r="I84" s="1" t="str">
        <f>TEXT(Work[[#This Row],[Delivered Date]],"ddd")</f>
        <v>Wed</v>
      </c>
      <c r="J84" s="4">
        <f>_xlfn.XLOOKUP(Work[[#This Row],[Product Name]],Cost[Product Name],Cost[Cost Percentage],"NA")</f>
        <v>0.65</v>
      </c>
      <c r="K84" s="3">
        <v>693</v>
      </c>
      <c r="L84" s="3">
        <f>Work[[#This Row],[Unit Price]]*Work[[#This Row],[Quantity]]</f>
        <v>5544</v>
      </c>
      <c r="M84" s="3">
        <f>Work[[#This Row],[Revenue]]*Work[[#This Row],[cost percentage]]</f>
        <v>3603.6</v>
      </c>
      <c r="N84" s="3">
        <f>Work[[#This Row],[Revenue]]-Work[[#This Row],[Cost]]</f>
        <v>1940.4</v>
      </c>
      <c r="O84">
        <v>8</v>
      </c>
      <c r="P84" s="6">
        <f>Work[[#This Row],[Delivered Date]]-Work[[#This Row],[Order Date]]</f>
        <v>4</v>
      </c>
      <c r="Q84" t="s">
        <v>28</v>
      </c>
      <c r="R84" t="s">
        <v>33</v>
      </c>
      <c r="S84" t="s">
        <v>15</v>
      </c>
    </row>
    <row r="85" spans="1:19" x14ac:dyDescent="0.35">
      <c r="A85">
        <v>64</v>
      </c>
      <c r="B85" t="s">
        <v>109</v>
      </c>
      <c r="C85" t="s">
        <v>21</v>
      </c>
      <c r="D85" t="s">
        <v>54</v>
      </c>
      <c r="E85" s="9">
        <v>45356</v>
      </c>
      <c r="F85" s="9">
        <v>45365</v>
      </c>
      <c r="G85" s="4" t="str">
        <f>TEXT(Work[[#This Row],[Delivered Date]],"mmm")</f>
        <v>Mar</v>
      </c>
      <c r="H85" s="16">
        <f>MONTH(Work[[#This Row],[Delivered Date]])</f>
        <v>3</v>
      </c>
      <c r="I85" s="1" t="str">
        <f>TEXT(Work[[#This Row],[Delivered Date]],"ddd")</f>
        <v>Thu</v>
      </c>
      <c r="J85" s="4">
        <f>_xlfn.XLOOKUP(Work[[#This Row],[Product Name]],Cost[Product Name],Cost[Cost Percentage],"NA")</f>
        <v>0.7</v>
      </c>
      <c r="K85" s="3">
        <v>695</v>
      </c>
      <c r="L85" s="3">
        <f>Work[[#This Row],[Unit Price]]*Work[[#This Row],[Quantity]]</f>
        <v>5560</v>
      </c>
      <c r="M85" s="3">
        <f>Work[[#This Row],[Revenue]]*Work[[#This Row],[cost percentage]]</f>
        <v>3891.9999999999995</v>
      </c>
      <c r="N85" s="3">
        <f>Work[[#This Row],[Revenue]]-Work[[#This Row],[Cost]]</f>
        <v>1668.0000000000005</v>
      </c>
      <c r="O85">
        <v>8</v>
      </c>
      <c r="P85" s="6">
        <f>Work[[#This Row],[Delivered Date]]-Work[[#This Row],[Order Date]]</f>
        <v>9</v>
      </c>
      <c r="Q85" t="s">
        <v>14</v>
      </c>
      <c r="R85" t="s">
        <v>551</v>
      </c>
      <c r="S85" t="s">
        <v>19</v>
      </c>
    </row>
    <row r="86" spans="1:19" x14ac:dyDescent="0.35">
      <c r="A86">
        <v>68</v>
      </c>
      <c r="B86" t="s">
        <v>113</v>
      </c>
      <c r="C86" t="s">
        <v>31</v>
      </c>
      <c r="D86" t="s">
        <v>32</v>
      </c>
      <c r="E86" s="9">
        <v>45353</v>
      </c>
      <c r="F86" s="9">
        <v>45364</v>
      </c>
      <c r="G86" s="4" t="str">
        <f>TEXT(Work[[#This Row],[Delivered Date]],"mmm")</f>
        <v>Mar</v>
      </c>
      <c r="H86" s="16">
        <f>MONTH(Work[[#This Row],[Delivered Date]])</f>
        <v>3</v>
      </c>
      <c r="I86" s="1" t="str">
        <f>TEXT(Work[[#This Row],[Delivered Date]],"ddd")</f>
        <v>Wed</v>
      </c>
      <c r="J86" s="4">
        <f>_xlfn.XLOOKUP(Work[[#This Row],[Product Name]],Cost[Product Name],Cost[Cost Percentage],"NA")</f>
        <v>0.75</v>
      </c>
      <c r="K86" s="3">
        <v>811</v>
      </c>
      <c r="L86" s="3">
        <f>Work[[#This Row],[Unit Price]]*Work[[#This Row],[Quantity]]</f>
        <v>8110</v>
      </c>
      <c r="M86" s="3">
        <f>Work[[#This Row],[Revenue]]*Work[[#This Row],[cost percentage]]</f>
        <v>6082.5</v>
      </c>
      <c r="N86" s="3">
        <f>Work[[#This Row],[Revenue]]-Work[[#This Row],[Cost]]</f>
        <v>2027.5</v>
      </c>
      <c r="O86">
        <v>10</v>
      </c>
      <c r="P86" s="6">
        <f>Work[[#This Row],[Delivered Date]]-Work[[#This Row],[Order Date]]</f>
        <v>11</v>
      </c>
      <c r="Q86" t="s">
        <v>28</v>
      </c>
      <c r="R86" t="s">
        <v>551</v>
      </c>
      <c r="S86" t="s">
        <v>15</v>
      </c>
    </row>
    <row r="87" spans="1:19" x14ac:dyDescent="0.35">
      <c r="A87">
        <v>92</v>
      </c>
      <c r="B87" t="s">
        <v>138</v>
      </c>
      <c r="C87" t="s">
        <v>31</v>
      </c>
      <c r="D87" t="s">
        <v>32</v>
      </c>
      <c r="E87" s="9">
        <v>45359</v>
      </c>
      <c r="F87" s="9">
        <v>45373</v>
      </c>
      <c r="G87" s="4" t="str">
        <f>TEXT(Work[[#This Row],[Delivered Date]],"mmm")</f>
        <v>Mar</v>
      </c>
      <c r="H87" s="16">
        <f>MONTH(Work[[#This Row],[Delivered Date]])</f>
        <v>3</v>
      </c>
      <c r="I87" s="1" t="str">
        <f>TEXT(Work[[#This Row],[Delivered Date]],"ddd")</f>
        <v>Fri</v>
      </c>
      <c r="J87" s="4">
        <f>_xlfn.XLOOKUP(Work[[#This Row],[Product Name]],Cost[Product Name],Cost[Cost Percentage],"NA")</f>
        <v>0.75</v>
      </c>
      <c r="K87" s="3">
        <v>458</v>
      </c>
      <c r="L87" s="3">
        <f>Work[[#This Row],[Unit Price]]*Work[[#This Row],[Quantity]]</f>
        <v>2290</v>
      </c>
      <c r="M87" s="3">
        <f>Work[[#This Row],[Revenue]]*Work[[#This Row],[cost percentage]]</f>
        <v>1717.5</v>
      </c>
      <c r="N87" s="3">
        <f>Work[[#This Row],[Revenue]]-Work[[#This Row],[Cost]]</f>
        <v>572.5</v>
      </c>
      <c r="O87">
        <v>5</v>
      </c>
      <c r="P87" s="6">
        <f>Work[[#This Row],[Delivered Date]]-Work[[#This Row],[Order Date]]</f>
        <v>14</v>
      </c>
      <c r="Q87" t="s">
        <v>14</v>
      </c>
      <c r="R87" t="s">
        <v>33</v>
      </c>
      <c r="S87" t="s">
        <v>15</v>
      </c>
    </row>
    <row r="88" spans="1:19" x14ac:dyDescent="0.35">
      <c r="A88">
        <v>104</v>
      </c>
      <c r="B88" t="s">
        <v>150</v>
      </c>
      <c r="C88" t="s">
        <v>17</v>
      </c>
      <c r="D88" t="s">
        <v>56</v>
      </c>
      <c r="E88" s="9">
        <v>45359</v>
      </c>
      <c r="F88" s="9">
        <v>45369</v>
      </c>
      <c r="G88" s="4" t="str">
        <f>TEXT(Work[[#This Row],[Delivered Date]],"mmm")</f>
        <v>Mar</v>
      </c>
      <c r="H88" s="16">
        <f>MONTH(Work[[#This Row],[Delivered Date]])</f>
        <v>3</v>
      </c>
      <c r="I88" s="1" t="str">
        <f>TEXT(Work[[#This Row],[Delivered Date]],"ddd")</f>
        <v>Mon</v>
      </c>
      <c r="J88" s="4">
        <f>_xlfn.XLOOKUP(Work[[#This Row],[Product Name]],Cost[Product Name],Cost[Cost Percentage],"NA")</f>
        <v>0.55000000000000004</v>
      </c>
      <c r="K88" s="3">
        <v>941</v>
      </c>
      <c r="L88" s="3">
        <f>Work[[#This Row],[Unit Price]]*Work[[#This Row],[Quantity]]</f>
        <v>1882</v>
      </c>
      <c r="M88" s="3">
        <f>Work[[#This Row],[Revenue]]*Work[[#This Row],[cost percentage]]</f>
        <v>1035.1000000000001</v>
      </c>
      <c r="N88" s="3">
        <f>Work[[#This Row],[Revenue]]-Work[[#This Row],[Cost]]</f>
        <v>846.89999999999986</v>
      </c>
      <c r="O88">
        <v>2</v>
      </c>
      <c r="P88" s="6">
        <f>Work[[#This Row],[Delivered Date]]-Work[[#This Row],[Order Date]]</f>
        <v>10</v>
      </c>
      <c r="Q88" t="s">
        <v>28</v>
      </c>
      <c r="R88" t="s">
        <v>547</v>
      </c>
      <c r="S88" t="s">
        <v>29</v>
      </c>
    </row>
    <row r="89" spans="1:19" x14ac:dyDescent="0.35">
      <c r="A89">
        <v>108</v>
      </c>
      <c r="B89" t="s">
        <v>154</v>
      </c>
      <c r="C89" t="s">
        <v>24</v>
      </c>
      <c r="D89" t="s">
        <v>25</v>
      </c>
      <c r="E89" s="9">
        <v>45347</v>
      </c>
      <c r="F89" s="9">
        <v>45353</v>
      </c>
      <c r="G89" s="4" t="str">
        <f>TEXT(Work[[#This Row],[Delivered Date]],"mmm")</f>
        <v>Mar</v>
      </c>
      <c r="H89" s="16">
        <f>MONTH(Work[[#This Row],[Delivered Date]])</f>
        <v>3</v>
      </c>
      <c r="I89" s="1" t="str">
        <f>TEXT(Work[[#This Row],[Delivered Date]],"ddd")</f>
        <v>Sat</v>
      </c>
      <c r="J89" s="4">
        <f>_xlfn.XLOOKUP(Work[[#This Row],[Product Name]],Cost[Product Name],Cost[Cost Percentage],"NA")</f>
        <v>0.55000000000000004</v>
      </c>
      <c r="K89" s="3">
        <v>492</v>
      </c>
      <c r="L89" s="3">
        <f>Work[[#This Row],[Unit Price]]*Work[[#This Row],[Quantity]]</f>
        <v>1968</v>
      </c>
      <c r="M89" s="3">
        <f>Work[[#This Row],[Revenue]]*Work[[#This Row],[cost percentage]]</f>
        <v>1082.4000000000001</v>
      </c>
      <c r="N89" s="3">
        <f>Work[[#This Row],[Revenue]]-Work[[#This Row],[Cost]]</f>
        <v>885.59999999999991</v>
      </c>
      <c r="O89">
        <v>4</v>
      </c>
      <c r="P89" s="6">
        <f>Work[[#This Row],[Delivered Date]]-Work[[#This Row],[Order Date]]</f>
        <v>6</v>
      </c>
      <c r="Q89" t="s">
        <v>28</v>
      </c>
      <c r="R89" t="s">
        <v>551</v>
      </c>
      <c r="S89" t="s">
        <v>15</v>
      </c>
    </row>
    <row r="90" spans="1:19" x14ac:dyDescent="0.35">
      <c r="A90">
        <v>122</v>
      </c>
      <c r="B90" t="s">
        <v>168</v>
      </c>
      <c r="C90" t="s">
        <v>31</v>
      </c>
      <c r="D90" t="s">
        <v>79</v>
      </c>
      <c r="E90" s="9">
        <v>45370</v>
      </c>
      <c r="F90" s="9">
        <v>45374</v>
      </c>
      <c r="G90" s="4" t="str">
        <f>TEXT(Work[[#This Row],[Delivered Date]],"mmm")</f>
        <v>Mar</v>
      </c>
      <c r="H90" s="16">
        <f>MONTH(Work[[#This Row],[Delivered Date]])</f>
        <v>3</v>
      </c>
      <c r="I90" s="1" t="str">
        <f>TEXT(Work[[#This Row],[Delivered Date]],"ddd")</f>
        <v>Sat</v>
      </c>
      <c r="J90" s="4">
        <f>_xlfn.XLOOKUP(Work[[#This Row],[Product Name]],Cost[Product Name],Cost[Cost Percentage],"NA")</f>
        <v>0.65</v>
      </c>
      <c r="K90" s="3">
        <v>78</v>
      </c>
      <c r="L90" s="3">
        <f>Work[[#This Row],[Unit Price]]*Work[[#This Row],[Quantity]]</f>
        <v>624</v>
      </c>
      <c r="M90" s="3">
        <f>Work[[#This Row],[Revenue]]*Work[[#This Row],[cost percentage]]</f>
        <v>405.6</v>
      </c>
      <c r="N90" s="3">
        <f>Work[[#This Row],[Revenue]]-Work[[#This Row],[Cost]]</f>
        <v>218.39999999999998</v>
      </c>
      <c r="O90">
        <v>8</v>
      </c>
      <c r="P90" s="6">
        <f>Work[[#This Row],[Delivered Date]]-Work[[#This Row],[Order Date]]</f>
        <v>4</v>
      </c>
      <c r="Q90" t="s">
        <v>14</v>
      </c>
      <c r="R90" t="s">
        <v>551</v>
      </c>
      <c r="S90" t="s">
        <v>19</v>
      </c>
    </row>
    <row r="91" spans="1:19" x14ac:dyDescent="0.35">
      <c r="A91">
        <v>126</v>
      </c>
      <c r="B91" t="s">
        <v>172</v>
      </c>
      <c r="C91" t="s">
        <v>17</v>
      </c>
      <c r="D91" t="s">
        <v>56</v>
      </c>
      <c r="E91" s="9">
        <v>45350</v>
      </c>
      <c r="F91" s="9">
        <v>45354</v>
      </c>
      <c r="G91" s="4" t="str">
        <f>TEXT(Work[[#This Row],[Delivered Date]],"mmm")</f>
        <v>Mar</v>
      </c>
      <c r="H91" s="16">
        <f>MONTH(Work[[#This Row],[Delivered Date]])</f>
        <v>3</v>
      </c>
      <c r="I91" s="1" t="str">
        <f>TEXT(Work[[#This Row],[Delivered Date]],"ddd")</f>
        <v>Sun</v>
      </c>
      <c r="J91" s="4">
        <f>_xlfn.XLOOKUP(Work[[#This Row],[Product Name]],Cost[Product Name],Cost[Cost Percentage],"NA")</f>
        <v>0.55000000000000004</v>
      </c>
      <c r="K91" s="3">
        <v>597</v>
      </c>
      <c r="L91" s="3">
        <f>Work[[#This Row],[Unit Price]]*Work[[#This Row],[Quantity]]</f>
        <v>2985</v>
      </c>
      <c r="M91" s="3">
        <f>Work[[#This Row],[Revenue]]*Work[[#This Row],[cost percentage]]</f>
        <v>1641.7500000000002</v>
      </c>
      <c r="N91" s="3">
        <f>Work[[#This Row],[Revenue]]-Work[[#This Row],[Cost]]</f>
        <v>1343.2499999999998</v>
      </c>
      <c r="O91">
        <v>5</v>
      </c>
      <c r="P91" s="6">
        <f>Work[[#This Row],[Delivered Date]]-Work[[#This Row],[Order Date]]</f>
        <v>4</v>
      </c>
      <c r="Q91" t="s">
        <v>28</v>
      </c>
      <c r="R91" t="s">
        <v>551</v>
      </c>
      <c r="S91" t="s">
        <v>46</v>
      </c>
    </row>
    <row r="92" spans="1:19" x14ac:dyDescent="0.35">
      <c r="A92">
        <v>134</v>
      </c>
      <c r="B92" t="s">
        <v>180</v>
      </c>
      <c r="C92" t="s">
        <v>24</v>
      </c>
      <c r="D92" t="s">
        <v>25</v>
      </c>
      <c r="E92" s="9">
        <v>45350</v>
      </c>
      <c r="F92" s="9">
        <v>45356</v>
      </c>
      <c r="G92" s="4" t="str">
        <f>TEXT(Work[[#This Row],[Delivered Date]],"mmm")</f>
        <v>Mar</v>
      </c>
      <c r="H92" s="16">
        <f>MONTH(Work[[#This Row],[Delivered Date]])</f>
        <v>3</v>
      </c>
      <c r="I92" s="1" t="str">
        <f>TEXT(Work[[#This Row],[Delivered Date]],"ddd")</f>
        <v>Tue</v>
      </c>
      <c r="J92" s="4">
        <f>_xlfn.XLOOKUP(Work[[#This Row],[Product Name]],Cost[Product Name],Cost[Cost Percentage],"NA")</f>
        <v>0.55000000000000004</v>
      </c>
      <c r="K92" s="3">
        <v>31</v>
      </c>
      <c r="L92" s="3">
        <f>Work[[#This Row],[Unit Price]]*Work[[#This Row],[Quantity]]</f>
        <v>217</v>
      </c>
      <c r="M92" s="3">
        <f>Work[[#This Row],[Revenue]]*Work[[#This Row],[cost percentage]]</f>
        <v>119.35000000000001</v>
      </c>
      <c r="N92" s="3">
        <f>Work[[#This Row],[Revenue]]-Work[[#This Row],[Cost]]</f>
        <v>97.649999999999991</v>
      </c>
      <c r="O92">
        <v>7</v>
      </c>
      <c r="P92" s="6">
        <f>Work[[#This Row],[Delivered Date]]-Work[[#This Row],[Order Date]]</f>
        <v>6</v>
      </c>
      <c r="Q92" t="s">
        <v>28</v>
      </c>
      <c r="R92" t="s">
        <v>547</v>
      </c>
      <c r="S92" t="s">
        <v>19</v>
      </c>
    </row>
    <row r="93" spans="1:19" x14ac:dyDescent="0.35">
      <c r="A93">
        <v>147</v>
      </c>
      <c r="B93" t="s">
        <v>193</v>
      </c>
      <c r="C93" t="s">
        <v>31</v>
      </c>
      <c r="D93" t="s">
        <v>50</v>
      </c>
      <c r="E93" s="9">
        <v>45358</v>
      </c>
      <c r="F93" s="9">
        <v>45364</v>
      </c>
      <c r="G93" s="4" t="str">
        <f>TEXT(Work[[#This Row],[Delivered Date]],"mmm")</f>
        <v>Mar</v>
      </c>
      <c r="H93" s="16">
        <f>MONTH(Work[[#This Row],[Delivered Date]])</f>
        <v>3</v>
      </c>
      <c r="I93" s="1" t="str">
        <f>TEXT(Work[[#This Row],[Delivered Date]],"ddd")</f>
        <v>Wed</v>
      </c>
      <c r="J93" s="4">
        <f>_xlfn.XLOOKUP(Work[[#This Row],[Product Name]],Cost[Product Name],Cost[Cost Percentage],"NA")</f>
        <v>0.7</v>
      </c>
      <c r="K93" s="3">
        <v>735</v>
      </c>
      <c r="L93" s="3">
        <f>Work[[#This Row],[Unit Price]]*Work[[#This Row],[Quantity]]</f>
        <v>7350</v>
      </c>
      <c r="M93" s="3">
        <f>Work[[#This Row],[Revenue]]*Work[[#This Row],[cost percentage]]</f>
        <v>5145</v>
      </c>
      <c r="N93" s="3">
        <f>Work[[#This Row],[Revenue]]-Work[[#This Row],[Cost]]</f>
        <v>2205</v>
      </c>
      <c r="O93">
        <v>10</v>
      </c>
      <c r="P93" s="6">
        <f>Work[[#This Row],[Delivered Date]]-Work[[#This Row],[Order Date]]</f>
        <v>6</v>
      </c>
      <c r="Q93" t="s">
        <v>28</v>
      </c>
      <c r="R93" t="s">
        <v>551</v>
      </c>
      <c r="S93" t="s">
        <v>19</v>
      </c>
    </row>
    <row r="94" spans="1:19" x14ac:dyDescent="0.35">
      <c r="A94">
        <v>148</v>
      </c>
      <c r="B94" t="s">
        <v>194</v>
      </c>
      <c r="C94" t="s">
        <v>24</v>
      </c>
      <c r="D94" t="s">
        <v>25</v>
      </c>
      <c r="E94" s="9">
        <v>45357</v>
      </c>
      <c r="F94" s="9">
        <v>45362</v>
      </c>
      <c r="G94" s="4" t="str">
        <f>TEXT(Work[[#This Row],[Delivered Date]],"mmm")</f>
        <v>Mar</v>
      </c>
      <c r="H94" s="16">
        <f>MONTH(Work[[#This Row],[Delivered Date]])</f>
        <v>3</v>
      </c>
      <c r="I94" s="1" t="str">
        <f>TEXT(Work[[#This Row],[Delivered Date]],"ddd")</f>
        <v>Mon</v>
      </c>
      <c r="J94" s="4">
        <f>_xlfn.XLOOKUP(Work[[#This Row],[Product Name]],Cost[Product Name],Cost[Cost Percentage],"NA")</f>
        <v>0.55000000000000004</v>
      </c>
      <c r="K94" s="3">
        <v>105</v>
      </c>
      <c r="L94" s="3">
        <f>Work[[#This Row],[Unit Price]]*Work[[#This Row],[Quantity]]</f>
        <v>945</v>
      </c>
      <c r="M94" s="3">
        <f>Work[[#This Row],[Revenue]]*Work[[#This Row],[cost percentage]]</f>
        <v>519.75</v>
      </c>
      <c r="N94" s="3">
        <f>Work[[#This Row],[Revenue]]-Work[[#This Row],[Cost]]</f>
        <v>425.25</v>
      </c>
      <c r="O94">
        <v>9</v>
      </c>
      <c r="P94" s="6">
        <f>Work[[#This Row],[Delivered Date]]-Work[[#This Row],[Order Date]]</f>
        <v>5</v>
      </c>
      <c r="Q94" t="s">
        <v>28</v>
      </c>
      <c r="R94" t="s">
        <v>33</v>
      </c>
      <c r="S94" t="s">
        <v>46</v>
      </c>
    </row>
    <row r="95" spans="1:19" x14ac:dyDescent="0.35">
      <c r="A95">
        <v>149</v>
      </c>
      <c r="B95" t="s">
        <v>195</v>
      </c>
      <c r="C95" t="s">
        <v>21</v>
      </c>
      <c r="D95" t="s">
        <v>54</v>
      </c>
      <c r="E95" s="9">
        <v>45362</v>
      </c>
      <c r="F95" s="9">
        <v>45367</v>
      </c>
      <c r="G95" s="4" t="str">
        <f>TEXT(Work[[#This Row],[Delivered Date]],"mmm")</f>
        <v>Mar</v>
      </c>
      <c r="H95" s="16">
        <f>MONTH(Work[[#This Row],[Delivered Date]])</f>
        <v>3</v>
      </c>
      <c r="I95" s="1" t="str">
        <f>TEXT(Work[[#This Row],[Delivered Date]],"ddd")</f>
        <v>Sat</v>
      </c>
      <c r="J95" s="4">
        <f>_xlfn.XLOOKUP(Work[[#This Row],[Product Name]],Cost[Product Name],Cost[Cost Percentage],"NA")</f>
        <v>0.7</v>
      </c>
      <c r="K95" s="3">
        <v>89</v>
      </c>
      <c r="L95" s="3">
        <f>Work[[#This Row],[Unit Price]]*Work[[#This Row],[Quantity]]</f>
        <v>267</v>
      </c>
      <c r="M95" s="3">
        <f>Work[[#This Row],[Revenue]]*Work[[#This Row],[cost percentage]]</f>
        <v>186.89999999999998</v>
      </c>
      <c r="N95" s="3">
        <f>Work[[#This Row],[Revenue]]-Work[[#This Row],[Cost]]</f>
        <v>80.100000000000023</v>
      </c>
      <c r="O95">
        <v>3</v>
      </c>
      <c r="P95" s="6">
        <f>Work[[#This Row],[Delivered Date]]-Work[[#This Row],[Order Date]]</f>
        <v>5</v>
      </c>
      <c r="Q95" t="s">
        <v>28</v>
      </c>
      <c r="R95" t="s">
        <v>547</v>
      </c>
      <c r="S95" t="s">
        <v>46</v>
      </c>
    </row>
    <row r="96" spans="1:19" x14ac:dyDescent="0.35">
      <c r="A96">
        <v>151</v>
      </c>
      <c r="B96" t="s">
        <v>197</v>
      </c>
      <c r="C96" t="s">
        <v>17</v>
      </c>
      <c r="D96" t="s">
        <v>44</v>
      </c>
      <c r="E96" s="9">
        <v>45370</v>
      </c>
      <c r="F96" s="9">
        <v>45376</v>
      </c>
      <c r="G96" s="4" t="str">
        <f>TEXT(Work[[#This Row],[Delivered Date]],"mmm")</f>
        <v>Mar</v>
      </c>
      <c r="H96" s="16">
        <f>MONTH(Work[[#This Row],[Delivered Date]])</f>
        <v>3</v>
      </c>
      <c r="I96" s="1" t="str">
        <f>TEXT(Work[[#This Row],[Delivered Date]],"ddd")</f>
        <v>Mon</v>
      </c>
      <c r="J96" s="4">
        <f>_xlfn.XLOOKUP(Work[[#This Row],[Product Name]],Cost[Product Name],Cost[Cost Percentage],"NA")</f>
        <v>0.6</v>
      </c>
      <c r="K96" s="3">
        <v>195</v>
      </c>
      <c r="L96" s="3">
        <f>Work[[#This Row],[Unit Price]]*Work[[#This Row],[Quantity]]</f>
        <v>585</v>
      </c>
      <c r="M96" s="3">
        <f>Work[[#This Row],[Revenue]]*Work[[#This Row],[cost percentage]]</f>
        <v>351</v>
      </c>
      <c r="N96" s="3">
        <f>Work[[#This Row],[Revenue]]-Work[[#This Row],[Cost]]</f>
        <v>234</v>
      </c>
      <c r="O96">
        <v>3</v>
      </c>
      <c r="P96" s="6">
        <f>Work[[#This Row],[Delivered Date]]-Work[[#This Row],[Order Date]]</f>
        <v>6</v>
      </c>
      <c r="Q96" t="s">
        <v>14</v>
      </c>
      <c r="R96" t="s">
        <v>549</v>
      </c>
      <c r="S96" t="s">
        <v>15</v>
      </c>
    </row>
    <row r="97" spans="1:19" x14ac:dyDescent="0.35">
      <c r="A97">
        <v>179</v>
      </c>
      <c r="B97" t="s">
        <v>225</v>
      </c>
      <c r="C97" t="s">
        <v>21</v>
      </c>
      <c r="D97" t="s">
        <v>22</v>
      </c>
      <c r="E97" s="9">
        <v>45354</v>
      </c>
      <c r="F97" s="9">
        <v>45366</v>
      </c>
      <c r="G97" s="4" t="str">
        <f>TEXT(Work[[#This Row],[Delivered Date]],"mmm")</f>
        <v>Mar</v>
      </c>
      <c r="H97" s="16">
        <f>MONTH(Work[[#This Row],[Delivered Date]])</f>
        <v>3</v>
      </c>
      <c r="I97" s="1" t="str">
        <f>TEXT(Work[[#This Row],[Delivered Date]],"ddd")</f>
        <v>Fri</v>
      </c>
      <c r="J97" s="4">
        <f>_xlfn.XLOOKUP(Work[[#This Row],[Product Name]],Cost[Product Name],Cost[Cost Percentage],"NA")</f>
        <v>0.75</v>
      </c>
      <c r="K97" s="3">
        <v>470</v>
      </c>
      <c r="L97" s="3">
        <f>Work[[#This Row],[Unit Price]]*Work[[#This Row],[Quantity]]</f>
        <v>2350</v>
      </c>
      <c r="M97" s="3">
        <f>Work[[#This Row],[Revenue]]*Work[[#This Row],[cost percentage]]</f>
        <v>1762.5</v>
      </c>
      <c r="N97" s="3">
        <f>Work[[#This Row],[Revenue]]-Work[[#This Row],[Cost]]</f>
        <v>587.5</v>
      </c>
      <c r="O97">
        <v>5</v>
      </c>
      <c r="P97" s="6">
        <f>Work[[#This Row],[Delivered Date]]-Work[[#This Row],[Order Date]]</f>
        <v>12</v>
      </c>
      <c r="Q97" t="s">
        <v>14</v>
      </c>
      <c r="R97" t="s">
        <v>551</v>
      </c>
      <c r="S97" t="s">
        <v>46</v>
      </c>
    </row>
    <row r="98" spans="1:19" x14ac:dyDescent="0.35">
      <c r="A98">
        <v>195</v>
      </c>
      <c r="B98" t="s">
        <v>241</v>
      </c>
      <c r="C98" t="s">
        <v>21</v>
      </c>
      <c r="D98" t="s">
        <v>40</v>
      </c>
      <c r="E98" s="9">
        <v>45343</v>
      </c>
      <c r="F98" s="9">
        <v>45357</v>
      </c>
      <c r="G98" s="4" t="str">
        <f>TEXT(Work[[#This Row],[Delivered Date]],"mmm")</f>
        <v>Mar</v>
      </c>
      <c r="H98" s="16">
        <f>MONTH(Work[[#This Row],[Delivered Date]])</f>
        <v>3</v>
      </c>
      <c r="I98" s="1" t="str">
        <f>TEXT(Work[[#This Row],[Delivered Date]],"ddd")</f>
        <v>Wed</v>
      </c>
      <c r="J98" s="4">
        <f>_xlfn.XLOOKUP(Work[[#This Row],[Product Name]],Cost[Product Name],Cost[Cost Percentage],"NA")</f>
        <v>0.65</v>
      </c>
      <c r="K98" s="3">
        <v>348</v>
      </c>
      <c r="L98" s="3">
        <f>Work[[#This Row],[Unit Price]]*Work[[#This Row],[Quantity]]</f>
        <v>2436</v>
      </c>
      <c r="M98" s="3">
        <f>Work[[#This Row],[Revenue]]*Work[[#This Row],[cost percentage]]</f>
        <v>1583.4</v>
      </c>
      <c r="N98" s="3">
        <f>Work[[#This Row],[Revenue]]-Work[[#This Row],[Cost]]</f>
        <v>852.59999999999991</v>
      </c>
      <c r="O98">
        <v>7</v>
      </c>
      <c r="P98" s="6">
        <f>Work[[#This Row],[Delivered Date]]-Work[[#This Row],[Order Date]]</f>
        <v>14</v>
      </c>
      <c r="Q98" t="s">
        <v>14</v>
      </c>
      <c r="R98" t="s">
        <v>33</v>
      </c>
      <c r="S98" t="s">
        <v>19</v>
      </c>
    </row>
    <row r="99" spans="1:19" x14ac:dyDescent="0.35">
      <c r="A99">
        <v>208</v>
      </c>
      <c r="B99" t="s">
        <v>254</v>
      </c>
      <c r="C99" t="s">
        <v>17</v>
      </c>
      <c r="D99" t="s">
        <v>44</v>
      </c>
      <c r="E99" s="9">
        <v>45351</v>
      </c>
      <c r="F99" s="9">
        <v>45359</v>
      </c>
      <c r="G99" s="4" t="str">
        <f>TEXT(Work[[#This Row],[Delivered Date]],"mmm")</f>
        <v>Mar</v>
      </c>
      <c r="H99" s="16">
        <f>MONTH(Work[[#This Row],[Delivered Date]])</f>
        <v>3</v>
      </c>
      <c r="I99" s="1" t="str">
        <f>TEXT(Work[[#This Row],[Delivered Date]],"ddd")</f>
        <v>Fri</v>
      </c>
      <c r="J99" s="4">
        <f>_xlfn.XLOOKUP(Work[[#This Row],[Product Name]],Cost[Product Name],Cost[Cost Percentage],"NA")</f>
        <v>0.6</v>
      </c>
      <c r="K99" s="3">
        <v>744</v>
      </c>
      <c r="L99" s="3">
        <f>Work[[#This Row],[Unit Price]]*Work[[#This Row],[Quantity]]</f>
        <v>2976</v>
      </c>
      <c r="M99" s="3">
        <f>Work[[#This Row],[Revenue]]*Work[[#This Row],[cost percentage]]</f>
        <v>1785.6</v>
      </c>
      <c r="N99" s="3">
        <f>Work[[#This Row],[Revenue]]-Work[[#This Row],[Cost]]</f>
        <v>1190.4000000000001</v>
      </c>
      <c r="O99">
        <v>4</v>
      </c>
      <c r="P99" s="6">
        <f>Work[[#This Row],[Delivered Date]]-Work[[#This Row],[Order Date]]</f>
        <v>8</v>
      </c>
      <c r="Q99" t="s">
        <v>14</v>
      </c>
      <c r="R99" t="s">
        <v>33</v>
      </c>
      <c r="S99" t="s">
        <v>19</v>
      </c>
    </row>
    <row r="100" spans="1:19" x14ac:dyDescent="0.35">
      <c r="A100">
        <v>214</v>
      </c>
      <c r="B100" t="s">
        <v>260</v>
      </c>
      <c r="C100" t="s">
        <v>21</v>
      </c>
      <c r="D100" t="s">
        <v>40</v>
      </c>
      <c r="E100" s="9">
        <v>45343</v>
      </c>
      <c r="F100" s="9">
        <v>45356</v>
      </c>
      <c r="G100" s="4" t="str">
        <f>TEXT(Work[[#This Row],[Delivered Date]],"mmm")</f>
        <v>Mar</v>
      </c>
      <c r="H100" s="16">
        <f>MONTH(Work[[#This Row],[Delivered Date]])</f>
        <v>3</v>
      </c>
      <c r="I100" s="1" t="str">
        <f>TEXT(Work[[#This Row],[Delivered Date]],"ddd")</f>
        <v>Tue</v>
      </c>
      <c r="J100" s="4">
        <f>_xlfn.XLOOKUP(Work[[#This Row],[Product Name]],Cost[Product Name],Cost[Cost Percentage],"NA")</f>
        <v>0.65</v>
      </c>
      <c r="K100" s="3">
        <v>44</v>
      </c>
      <c r="L100" s="3">
        <f>Work[[#This Row],[Unit Price]]*Work[[#This Row],[Quantity]]</f>
        <v>440</v>
      </c>
      <c r="M100" s="3">
        <f>Work[[#This Row],[Revenue]]*Work[[#This Row],[cost percentage]]</f>
        <v>286</v>
      </c>
      <c r="N100" s="3">
        <f>Work[[#This Row],[Revenue]]-Work[[#This Row],[Cost]]</f>
        <v>154</v>
      </c>
      <c r="O100">
        <v>10</v>
      </c>
      <c r="P100" s="6">
        <f>Work[[#This Row],[Delivered Date]]-Work[[#This Row],[Order Date]]</f>
        <v>13</v>
      </c>
      <c r="Q100" t="s">
        <v>28</v>
      </c>
      <c r="R100" t="s">
        <v>550</v>
      </c>
      <c r="S100" t="s">
        <v>29</v>
      </c>
    </row>
    <row r="101" spans="1:19" x14ac:dyDescent="0.35">
      <c r="A101">
        <v>276</v>
      </c>
      <c r="B101" t="s">
        <v>322</v>
      </c>
      <c r="C101" t="s">
        <v>24</v>
      </c>
      <c r="D101" t="s">
        <v>115</v>
      </c>
      <c r="E101" s="9">
        <v>45359</v>
      </c>
      <c r="F101" s="9">
        <v>45366</v>
      </c>
      <c r="G101" s="4" t="str">
        <f>TEXT(Work[[#This Row],[Delivered Date]],"mmm")</f>
        <v>Mar</v>
      </c>
      <c r="H101" s="16">
        <f>MONTH(Work[[#This Row],[Delivered Date]])</f>
        <v>3</v>
      </c>
      <c r="I101" s="1" t="str">
        <f>TEXT(Work[[#This Row],[Delivered Date]],"ddd")</f>
        <v>Fri</v>
      </c>
      <c r="J101" s="4">
        <f>_xlfn.XLOOKUP(Work[[#This Row],[Product Name]],Cost[Product Name],Cost[Cost Percentage],"NA")</f>
        <v>0.6</v>
      </c>
      <c r="K101" s="3">
        <v>241</v>
      </c>
      <c r="L101" s="3">
        <f>Work[[#This Row],[Unit Price]]*Work[[#This Row],[Quantity]]</f>
        <v>2410</v>
      </c>
      <c r="M101" s="3">
        <f>Work[[#This Row],[Revenue]]*Work[[#This Row],[cost percentage]]</f>
        <v>1446</v>
      </c>
      <c r="N101" s="3">
        <f>Work[[#This Row],[Revenue]]-Work[[#This Row],[Cost]]</f>
        <v>964</v>
      </c>
      <c r="O101">
        <v>10</v>
      </c>
      <c r="P101" s="6">
        <f>Work[[#This Row],[Delivered Date]]-Work[[#This Row],[Order Date]]</f>
        <v>7</v>
      </c>
      <c r="Q101" t="s">
        <v>14</v>
      </c>
      <c r="R101" t="s">
        <v>552</v>
      </c>
      <c r="S101" t="s">
        <v>19</v>
      </c>
    </row>
    <row r="102" spans="1:19" x14ac:dyDescent="0.35">
      <c r="A102">
        <v>277</v>
      </c>
      <c r="B102" t="s">
        <v>323</v>
      </c>
      <c r="C102" t="s">
        <v>12</v>
      </c>
      <c r="D102" t="s">
        <v>96</v>
      </c>
      <c r="E102" s="9">
        <v>45353</v>
      </c>
      <c r="F102" s="9">
        <v>45366</v>
      </c>
      <c r="G102" s="4" t="str">
        <f>TEXT(Work[[#This Row],[Delivered Date]],"mmm")</f>
        <v>Mar</v>
      </c>
      <c r="H102" s="16">
        <f>MONTH(Work[[#This Row],[Delivered Date]])</f>
        <v>3</v>
      </c>
      <c r="I102" s="1" t="str">
        <f>TEXT(Work[[#This Row],[Delivered Date]],"ddd")</f>
        <v>Fri</v>
      </c>
      <c r="J102" s="4">
        <f>_xlfn.XLOOKUP(Work[[#This Row],[Product Name]],Cost[Product Name],Cost[Cost Percentage],"NA")</f>
        <v>0.7</v>
      </c>
      <c r="K102" s="3">
        <v>720</v>
      </c>
      <c r="L102" s="3">
        <f>Work[[#This Row],[Unit Price]]*Work[[#This Row],[Quantity]]</f>
        <v>5040</v>
      </c>
      <c r="M102" s="3">
        <f>Work[[#This Row],[Revenue]]*Work[[#This Row],[cost percentage]]</f>
        <v>3528</v>
      </c>
      <c r="N102" s="3">
        <f>Work[[#This Row],[Revenue]]-Work[[#This Row],[Cost]]</f>
        <v>1512</v>
      </c>
      <c r="O102">
        <v>7</v>
      </c>
      <c r="P102" s="6">
        <f>Work[[#This Row],[Delivered Date]]-Work[[#This Row],[Order Date]]</f>
        <v>13</v>
      </c>
      <c r="Q102" t="s">
        <v>14</v>
      </c>
      <c r="R102" t="s">
        <v>548</v>
      </c>
      <c r="S102" t="s">
        <v>19</v>
      </c>
    </row>
    <row r="103" spans="1:19" x14ac:dyDescent="0.35">
      <c r="A103">
        <v>278</v>
      </c>
      <c r="B103" t="s">
        <v>324</v>
      </c>
      <c r="C103" t="s">
        <v>21</v>
      </c>
      <c r="D103" t="s">
        <v>22</v>
      </c>
      <c r="E103" s="9">
        <v>45360</v>
      </c>
      <c r="F103" s="9">
        <v>45371</v>
      </c>
      <c r="G103" s="4" t="str">
        <f>TEXT(Work[[#This Row],[Delivered Date]],"mmm")</f>
        <v>Mar</v>
      </c>
      <c r="H103" s="16">
        <f>MONTH(Work[[#This Row],[Delivered Date]])</f>
        <v>3</v>
      </c>
      <c r="I103" s="1" t="str">
        <f>TEXT(Work[[#This Row],[Delivered Date]],"ddd")</f>
        <v>Wed</v>
      </c>
      <c r="J103" s="4">
        <f>_xlfn.XLOOKUP(Work[[#This Row],[Product Name]],Cost[Product Name],Cost[Cost Percentage],"NA")</f>
        <v>0.75</v>
      </c>
      <c r="K103" s="3">
        <v>80</v>
      </c>
      <c r="L103" s="3">
        <f>Work[[#This Row],[Unit Price]]*Work[[#This Row],[Quantity]]</f>
        <v>240</v>
      </c>
      <c r="M103" s="3">
        <f>Work[[#This Row],[Revenue]]*Work[[#This Row],[cost percentage]]</f>
        <v>180</v>
      </c>
      <c r="N103" s="3">
        <f>Work[[#This Row],[Revenue]]-Work[[#This Row],[Cost]]</f>
        <v>60</v>
      </c>
      <c r="O103">
        <v>3</v>
      </c>
      <c r="P103" s="6">
        <f>Work[[#This Row],[Delivered Date]]-Work[[#This Row],[Order Date]]</f>
        <v>11</v>
      </c>
      <c r="Q103" t="s">
        <v>14</v>
      </c>
      <c r="R103" t="s">
        <v>552</v>
      </c>
      <c r="S103" t="s">
        <v>46</v>
      </c>
    </row>
    <row r="104" spans="1:19" x14ac:dyDescent="0.35">
      <c r="A104">
        <v>300</v>
      </c>
      <c r="B104" t="s">
        <v>346</v>
      </c>
      <c r="C104" t="s">
        <v>12</v>
      </c>
      <c r="D104" t="s">
        <v>13</v>
      </c>
      <c r="E104" s="9">
        <v>45372</v>
      </c>
      <c r="F104" s="9">
        <v>45375</v>
      </c>
      <c r="G104" s="4" t="str">
        <f>TEXT(Work[[#This Row],[Delivered Date]],"mmm")</f>
        <v>Mar</v>
      </c>
      <c r="H104" s="16">
        <f>MONTH(Work[[#This Row],[Delivered Date]])</f>
        <v>3</v>
      </c>
      <c r="I104" s="1" t="str">
        <f>TEXT(Work[[#This Row],[Delivered Date]],"ddd")</f>
        <v>Sun</v>
      </c>
      <c r="J104" s="4">
        <f>_xlfn.XLOOKUP(Work[[#This Row],[Product Name]],Cost[Product Name],Cost[Cost Percentage],"NA")</f>
        <v>0.75</v>
      </c>
      <c r="K104" s="3">
        <v>856</v>
      </c>
      <c r="L104" s="3">
        <f>Work[[#This Row],[Unit Price]]*Work[[#This Row],[Quantity]]</f>
        <v>4280</v>
      </c>
      <c r="M104" s="3">
        <f>Work[[#This Row],[Revenue]]*Work[[#This Row],[cost percentage]]</f>
        <v>3210</v>
      </c>
      <c r="N104" s="3">
        <f>Work[[#This Row],[Revenue]]-Work[[#This Row],[Cost]]</f>
        <v>1070</v>
      </c>
      <c r="O104">
        <v>5</v>
      </c>
      <c r="P104" s="6">
        <f>Work[[#This Row],[Delivered Date]]-Work[[#This Row],[Order Date]]</f>
        <v>3</v>
      </c>
      <c r="Q104" t="s">
        <v>14</v>
      </c>
      <c r="R104" t="s">
        <v>552</v>
      </c>
      <c r="S104" t="s">
        <v>19</v>
      </c>
    </row>
    <row r="105" spans="1:19" x14ac:dyDescent="0.35">
      <c r="A105">
        <v>318</v>
      </c>
      <c r="B105" t="s">
        <v>364</v>
      </c>
      <c r="C105" t="s">
        <v>17</v>
      </c>
      <c r="D105" t="s">
        <v>64</v>
      </c>
      <c r="E105" s="9">
        <v>45725</v>
      </c>
      <c r="F105" s="9">
        <v>45730</v>
      </c>
      <c r="G105" s="4" t="str">
        <f>TEXT(Work[[#This Row],[Delivered Date]],"mmm")</f>
        <v>Mar</v>
      </c>
      <c r="H105" s="16">
        <f>MONTH(Work[[#This Row],[Delivered Date]])</f>
        <v>3</v>
      </c>
      <c r="I105" s="1" t="str">
        <f>TEXT(Work[[#This Row],[Delivered Date]],"ddd")</f>
        <v>Fri</v>
      </c>
      <c r="J105" s="4">
        <f>_xlfn.XLOOKUP(Work[[#This Row],[Product Name]],Cost[Product Name],Cost[Cost Percentage],"NA")</f>
        <v>0.5</v>
      </c>
      <c r="K105" s="3">
        <v>49</v>
      </c>
      <c r="L105" s="3">
        <f>Work[[#This Row],[Unit Price]]*Work[[#This Row],[Quantity]]</f>
        <v>196</v>
      </c>
      <c r="M105" s="3">
        <f>Work[[#This Row],[Revenue]]*Work[[#This Row],[cost percentage]]</f>
        <v>98</v>
      </c>
      <c r="N105" s="3">
        <f>Work[[#This Row],[Revenue]]-Work[[#This Row],[Cost]]</f>
        <v>98</v>
      </c>
      <c r="O105">
        <v>4</v>
      </c>
      <c r="P105" s="6">
        <f>Work[[#This Row],[Delivered Date]]-Work[[#This Row],[Order Date]]</f>
        <v>5</v>
      </c>
      <c r="Q105" t="s">
        <v>28</v>
      </c>
      <c r="R105" t="s">
        <v>547</v>
      </c>
      <c r="S105" t="s">
        <v>19</v>
      </c>
    </row>
    <row r="106" spans="1:19" x14ac:dyDescent="0.35">
      <c r="A106">
        <v>333</v>
      </c>
      <c r="B106" t="s">
        <v>379</v>
      </c>
      <c r="C106" t="s">
        <v>17</v>
      </c>
      <c r="D106" t="s">
        <v>64</v>
      </c>
      <c r="E106" s="9">
        <v>45722</v>
      </c>
      <c r="F106" s="9">
        <v>45732</v>
      </c>
      <c r="G106" s="4" t="str">
        <f>TEXT(Work[[#This Row],[Delivered Date]],"mmm")</f>
        <v>Mar</v>
      </c>
      <c r="H106" s="16">
        <f>MONTH(Work[[#This Row],[Delivered Date]])</f>
        <v>3</v>
      </c>
      <c r="I106" s="1" t="str">
        <f>TEXT(Work[[#This Row],[Delivered Date]],"ddd")</f>
        <v>Sun</v>
      </c>
      <c r="J106" s="4">
        <f>_xlfn.XLOOKUP(Work[[#This Row],[Product Name]],Cost[Product Name],Cost[Cost Percentage],"NA")</f>
        <v>0.5</v>
      </c>
      <c r="K106" s="3">
        <v>536</v>
      </c>
      <c r="L106" s="3">
        <f>Work[[#This Row],[Unit Price]]*Work[[#This Row],[Quantity]]</f>
        <v>2680</v>
      </c>
      <c r="M106" s="3">
        <f>Work[[#This Row],[Revenue]]*Work[[#This Row],[cost percentage]]</f>
        <v>1340</v>
      </c>
      <c r="N106" s="3">
        <f>Work[[#This Row],[Revenue]]-Work[[#This Row],[Cost]]</f>
        <v>1340</v>
      </c>
      <c r="O106">
        <v>5</v>
      </c>
      <c r="P106" s="6">
        <f>Work[[#This Row],[Delivered Date]]-Work[[#This Row],[Order Date]]</f>
        <v>10</v>
      </c>
      <c r="Q106" t="s">
        <v>28</v>
      </c>
      <c r="R106" t="s">
        <v>547</v>
      </c>
      <c r="S106" t="s">
        <v>46</v>
      </c>
    </row>
    <row r="107" spans="1:19" x14ac:dyDescent="0.35">
      <c r="A107">
        <v>356</v>
      </c>
      <c r="B107" t="s">
        <v>402</v>
      </c>
      <c r="C107" t="s">
        <v>24</v>
      </c>
      <c r="D107" t="s">
        <v>38</v>
      </c>
      <c r="E107" s="9">
        <v>45732</v>
      </c>
      <c r="F107" s="9">
        <v>45745</v>
      </c>
      <c r="G107" s="4" t="str">
        <f>TEXT(Work[[#This Row],[Delivered Date]],"mmm")</f>
        <v>Mar</v>
      </c>
      <c r="H107" s="16">
        <f>MONTH(Work[[#This Row],[Delivered Date]])</f>
        <v>3</v>
      </c>
      <c r="I107" s="1" t="str">
        <f>TEXT(Work[[#This Row],[Delivered Date]],"ddd")</f>
        <v>Sat</v>
      </c>
      <c r="J107" s="4">
        <f>_xlfn.XLOOKUP(Work[[#This Row],[Product Name]],Cost[Product Name],Cost[Cost Percentage],"NA")</f>
        <v>0.5</v>
      </c>
      <c r="K107" s="3">
        <v>468</v>
      </c>
      <c r="L107" s="3">
        <f>Work[[#This Row],[Unit Price]]*Work[[#This Row],[Quantity]]</f>
        <v>1872</v>
      </c>
      <c r="M107" s="3">
        <f>Work[[#This Row],[Revenue]]*Work[[#This Row],[cost percentage]]</f>
        <v>936</v>
      </c>
      <c r="N107" s="3">
        <f>Work[[#This Row],[Revenue]]-Work[[#This Row],[Cost]]</f>
        <v>936</v>
      </c>
      <c r="O107">
        <v>4</v>
      </c>
      <c r="P107" s="6">
        <f>Work[[#This Row],[Delivered Date]]-Work[[#This Row],[Order Date]]</f>
        <v>13</v>
      </c>
      <c r="Q107" t="s">
        <v>28</v>
      </c>
      <c r="R107" t="s">
        <v>549</v>
      </c>
      <c r="S107" t="s">
        <v>15</v>
      </c>
    </row>
    <row r="108" spans="1:19" x14ac:dyDescent="0.35">
      <c r="A108">
        <v>366</v>
      </c>
      <c r="B108" t="s">
        <v>412</v>
      </c>
      <c r="C108" t="s">
        <v>17</v>
      </c>
      <c r="D108" t="s">
        <v>56</v>
      </c>
      <c r="E108" s="9">
        <v>45725</v>
      </c>
      <c r="F108" s="9">
        <v>45730</v>
      </c>
      <c r="G108" s="4" t="str">
        <f>TEXT(Work[[#This Row],[Delivered Date]],"mmm")</f>
        <v>Mar</v>
      </c>
      <c r="H108" s="16">
        <f>MONTH(Work[[#This Row],[Delivered Date]])</f>
        <v>3</v>
      </c>
      <c r="I108" s="1" t="str">
        <f>TEXT(Work[[#This Row],[Delivered Date]],"ddd")</f>
        <v>Fri</v>
      </c>
      <c r="J108" s="4">
        <f>_xlfn.XLOOKUP(Work[[#This Row],[Product Name]],Cost[Product Name],Cost[Cost Percentage],"NA")</f>
        <v>0.55000000000000004</v>
      </c>
      <c r="K108" s="3">
        <v>788</v>
      </c>
      <c r="L108" s="3">
        <f>Work[[#This Row],[Unit Price]]*Work[[#This Row],[Quantity]]</f>
        <v>4728</v>
      </c>
      <c r="M108" s="3">
        <f>Work[[#This Row],[Revenue]]*Work[[#This Row],[cost percentage]]</f>
        <v>2600.4</v>
      </c>
      <c r="N108" s="3">
        <f>Work[[#This Row],[Revenue]]-Work[[#This Row],[Cost]]</f>
        <v>2127.6</v>
      </c>
      <c r="O108">
        <v>6</v>
      </c>
      <c r="P108" s="6">
        <f>Work[[#This Row],[Delivered Date]]-Work[[#This Row],[Order Date]]</f>
        <v>5</v>
      </c>
      <c r="Q108" t="s">
        <v>14</v>
      </c>
      <c r="R108" t="s">
        <v>549</v>
      </c>
      <c r="S108" t="s">
        <v>46</v>
      </c>
    </row>
    <row r="109" spans="1:19" x14ac:dyDescent="0.35">
      <c r="A109">
        <v>392</v>
      </c>
      <c r="B109" t="s">
        <v>438</v>
      </c>
      <c r="C109" t="s">
        <v>21</v>
      </c>
      <c r="D109" t="s">
        <v>54</v>
      </c>
      <c r="E109" s="9">
        <v>45737</v>
      </c>
      <c r="F109" s="9">
        <v>45746</v>
      </c>
      <c r="G109" s="4" t="str">
        <f>TEXT(Work[[#This Row],[Delivered Date]],"mmm")</f>
        <v>Mar</v>
      </c>
      <c r="H109" s="16">
        <f>MONTH(Work[[#This Row],[Delivered Date]])</f>
        <v>3</v>
      </c>
      <c r="I109" s="1" t="str">
        <f>TEXT(Work[[#This Row],[Delivered Date]],"ddd")</f>
        <v>Sun</v>
      </c>
      <c r="J109" s="4">
        <f>_xlfn.XLOOKUP(Work[[#This Row],[Product Name]],Cost[Product Name],Cost[Cost Percentage],"NA")</f>
        <v>0.7</v>
      </c>
      <c r="K109" s="3">
        <v>565</v>
      </c>
      <c r="L109" s="3">
        <f>Work[[#This Row],[Unit Price]]*Work[[#This Row],[Quantity]]</f>
        <v>3390</v>
      </c>
      <c r="M109" s="3">
        <f>Work[[#This Row],[Revenue]]*Work[[#This Row],[cost percentage]]</f>
        <v>2373</v>
      </c>
      <c r="N109" s="3">
        <f>Work[[#This Row],[Revenue]]-Work[[#This Row],[Cost]]</f>
        <v>1017</v>
      </c>
      <c r="O109">
        <v>6</v>
      </c>
      <c r="P109" s="6">
        <f>Work[[#This Row],[Delivered Date]]-Work[[#This Row],[Order Date]]</f>
        <v>9</v>
      </c>
      <c r="Q109" t="s">
        <v>14</v>
      </c>
      <c r="R109" t="s">
        <v>549</v>
      </c>
      <c r="S109" t="s">
        <v>46</v>
      </c>
    </row>
    <row r="110" spans="1:19" x14ac:dyDescent="0.35">
      <c r="A110">
        <v>395</v>
      </c>
      <c r="B110" t="s">
        <v>441</v>
      </c>
      <c r="C110" t="s">
        <v>17</v>
      </c>
      <c r="D110" t="s">
        <v>44</v>
      </c>
      <c r="E110" s="9">
        <v>45718</v>
      </c>
      <c r="F110" s="9">
        <v>45725</v>
      </c>
      <c r="G110" s="4" t="str">
        <f>TEXT(Work[[#This Row],[Delivered Date]],"mmm")</f>
        <v>Mar</v>
      </c>
      <c r="H110" s="16">
        <f>MONTH(Work[[#This Row],[Delivered Date]])</f>
        <v>3</v>
      </c>
      <c r="I110" s="1" t="str">
        <f>TEXT(Work[[#This Row],[Delivered Date]],"ddd")</f>
        <v>Sun</v>
      </c>
      <c r="J110" s="4">
        <f>_xlfn.XLOOKUP(Work[[#This Row],[Product Name]],Cost[Product Name],Cost[Cost Percentage],"NA")</f>
        <v>0.6</v>
      </c>
      <c r="K110" s="3">
        <v>616</v>
      </c>
      <c r="L110" s="3">
        <f>Work[[#This Row],[Unit Price]]*Work[[#This Row],[Quantity]]</f>
        <v>5544</v>
      </c>
      <c r="M110" s="3">
        <f>Work[[#This Row],[Revenue]]*Work[[#This Row],[cost percentage]]</f>
        <v>3326.4</v>
      </c>
      <c r="N110" s="3">
        <f>Work[[#This Row],[Revenue]]-Work[[#This Row],[Cost]]</f>
        <v>2217.6</v>
      </c>
      <c r="O110">
        <v>9</v>
      </c>
      <c r="P110" s="6">
        <f>Work[[#This Row],[Delivered Date]]-Work[[#This Row],[Order Date]]</f>
        <v>7</v>
      </c>
      <c r="Q110" t="s">
        <v>28</v>
      </c>
      <c r="R110" t="s">
        <v>549</v>
      </c>
      <c r="S110" t="s">
        <v>46</v>
      </c>
    </row>
    <row r="111" spans="1:19" x14ac:dyDescent="0.35">
      <c r="A111">
        <v>401</v>
      </c>
      <c r="B111" t="s">
        <v>447</v>
      </c>
      <c r="C111" t="s">
        <v>31</v>
      </c>
      <c r="D111" t="s">
        <v>32</v>
      </c>
      <c r="E111" s="9">
        <v>45728</v>
      </c>
      <c r="F111" s="9">
        <v>45734</v>
      </c>
      <c r="G111" s="4" t="str">
        <f>TEXT(Work[[#This Row],[Delivered Date]],"mmm")</f>
        <v>Mar</v>
      </c>
      <c r="H111" s="16">
        <f>MONTH(Work[[#This Row],[Delivered Date]])</f>
        <v>3</v>
      </c>
      <c r="I111" s="1" t="str">
        <f>TEXT(Work[[#This Row],[Delivered Date]],"ddd")</f>
        <v>Tue</v>
      </c>
      <c r="J111" s="4">
        <f>_xlfn.XLOOKUP(Work[[#This Row],[Product Name]],Cost[Product Name],Cost[Cost Percentage],"NA")</f>
        <v>0.75</v>
      </c>
      <c r="K111" s="3">
        <v>171</v>
      </c>
      <c r="L111" s="3">
        <f>Work[[#This Row],[Unit Price]]*Work[[#This Row],[Quantity]]</f>
        <v>1197</v>
      </c>
      <c r="M111" s="3">
        <f>Work[[#This Row],[Revenue]]*Work[[#This Row],[cost percentage]]</f>
        <v>897.75</v>
      </c>
      <c r="N111" s="3">
        <f>Work[[#This Row],[Revenue]]-Work[[#This Row],[Cost]]</f>
        <v>299.25</v>
      </c>
      <c r="O111">
        <v>7</v>
      </c>
      <c r="P111" s="6">
        <f>Work[[#This Row],[Delivered Date]]-Work[[#This Row],[Order Date]]</f>
        <v>6</v>
      </c>
      <c r="Q111" t="s">
        <v>28</v>
      </c>
      <c r="R111" t="s">
        <v>549</v>
      </c>
      <c r="S111" t="s">
        <v>15</v>
      </c>
    </row>
    <row r="112" spans="1:19" x14ac:dyDescent="0.35">
      <c r="A112">
        <v>407</v>
      </c>
      <c r="B112" t="s">
        <v>453</v>
      </c>
      <c r="C112" t="s">
        <v>17</v>
      </c>
      <c r="D112" t="s">
        <v>56</v>
      </c>
      <c r="E112" s="9">
        <v>45732</v>
      </c>
      <c r="F112" s="9">
        <v>45743</v>
      </c>
      <c r="G112" s="4" t="str">
        <f>TEXT(Work[[#This Row],[Delivered Date]],"mmm")</f>
        <v>Mar</v>
      </c>
      <c r="H112" s="16">
        <f>MONTH(Work[[#This Row],[Delivered Date]])</f>
        <v>3</v>
      </c>
      <c r="I112" s="1" t="str">
        <f>TEXT(Work[[#This Row],[Delivered Date]],"ddd")</f>
        <v>Thu</v>
      </c>
      <c r="J112" s="4">
        <f>_xlfn.XLOOKUP(Work[[#This Row],[Product Name]],Cost[Product Name],Cost[Cost Percentage],"NA")</f>
        <v>0.55000000000000004</v>
      </c>
      <c r="K112" s="3">
        <v>309</v>
      </c>
      <c r="L112" s="3">
        <f>Work[[#This Row],[Unit Price]]*Work[[#This Row],[Quantity]]</f>
        <v>2781</v>
      </c>
      <c r="M112" s="3">
        <f>Work[[#This Row],[Revenue]]*Work[[#This Row],[cost percentage]]</f>
        <v>1529.5500000000002</v>
      </c>
      <c r="N112" s="3">
        <f>Work[[#This Row],[Revenue]]-Work[[#This Row],[Cost]]</f>
        <v>1251.4499999999998</v>
      </c>
      <c r="O112">
        <v>9</v>
      </c>
      <c r="P112" s="6">
        <f>Work[[#This Row],[Delivered Date]]-Work[[#This Row],[Order Date]]</f>
        <v>11</v>
      </c>
      <c r="Q112" t="s">
        <v>28</v>
      </c>
      <c r="R112" t="s">
        <v>547</v>
      </c>
      <c r="S112" t="s">
        <v>46</v>
      </c>
    </row>
    <row r="113" spans="1:19" x14ac:dyDescent="0.35">
      <c r="A113">
        <v>408</v>
      </c>
      <c r="B113" t="s">
        <v>454</v>
      </c>
      <c r="C113" t="s">
        <v>31</v>
      </c>
      <c r="D113" t="s">
        <v>32</v>
      </c>
      <c r="E113" s="9">
        <v>45709</v>
      </c>
      <c r="F113" s="9">
        <v>45719</v>
      </c>
      <c r="G113" s="4" t="str">
        <f>TEXT(Work[[#This Row],[Delivered Date]],"mmm")</f>
        <v>Mar</v>
      </c>
      <c r="H113" s="16">
        <f>MONTH(Work[[#This Row],[Delivered Date]])</f>
        <v>3</v>
      </c>
      <c r="I113" s="1" t="str">
        <f>TEXT(Work[[#This Row],[Delivered Date]],"ddd")</f>
        <v>Mon</v>
      </c>
      <c r="J113" s="4">
        <f>_xlfn.XLOOKUP(Work[[#This Row],[Product Name]],Cost[Product Name],Cost[Cost Percentage],"NA")</f>
        <v>0.75</v>
      </c>
      <c r="K113" s="3">
        <v>97</v>
      </c>
      <c r="L113" s="3">
        <f>Work[[#This Row],[Unit Price]]*Work[[#This Row],[Quantity]]</f>
        <v>291</v>
      </c>
      <c r="M113" s="3">
        <f>Work[[#This Row],[Revenue]]*Work[[#This Row],[cost percentage]]</f>
        <v>218.25</v>
      </c>
      <c r="N113" s="3">
        <f>Work[[#This Row],[Revenue]]-Work[[#This Row],[Cost]]</f>
        <v>72.75</v>
      </c>
      <c r="O113">
        <v>3</v>
      </c>
      <c r="P113" s="6">
        <f>Work[[#This Row],[Delivered Date]]-Work[[#This Row],[Order Date]]</f>
        <v>10</v>
      </c>
      <c r="Q113" t="s">
        <v>14</v>
      </c>
      <c r="R113" t="s">
        <v>550</v>
      </c>
      <c r="S113" t="s">
        <v>15</v>
      </c>
    </row>
    <row r="114" spans="1:19" x14ac:dyDescent="0.35">
      <c r="A114">
        <v>420</v>
      </c>
      <c r="B114" t="s">
        <v>466</v>
      </c>
      <c r="C114" t="s">
        <v>31</v>
      </c>
      <c r="D114" t="s">
        <v>50</v>
      </c>
      <c r="E114" s="9">
        <v>45707</v>
      </c>
      <c r="F114" s="9">
        <v>45717</v>
      </c>
      <c r="G114" s="4" t="str">
        <f>TEXT(Work[[#This Row],[Delivered Date]],"mmm")</f>
        <v>Mar</v>
      </c>
      <c r="H114" s="16">
        <f>MONTH(Work[[#This Row],[Delivered Date]])</f>
        <v>3</v>
      </c>
      <c r="I114" s="1" t="str">
        <f>TEXT(Work[[#This Row],[Delivered Date]],"ddd")</f>
        <v>Sat</v>
      </c>
      <c r="J114" s="4">
        <f>_xlfn.XLOOKUP(Work[[#This Row],[Product Name]],Cost[Product Name],Cost[Cost Percentage],"NA")</f>
        <v>0.7</v>
      </c>
      <c r="K114" s="3">
        <v>371</v>
      </c>
      <c r="L114" s="3">
        <f>Work[[#This Row],[Unit Price]]*Work[[#This Row],[Quantity]]</f>
        <v>1484</v>
      </c>
      <c r="M114" s="3">
        <f>Work[[#This Row],[Revenue]]*Work[[#This Row],[cost percentage]]</f>
        <v>1038.8</v>
      </c>
      <c r="N114" s="3">
        <f>Work[[#This Row],[Revenue]]-Work[[#This Row],[Cost]]</f>
        <v>445.20000000000005</v>
      </c>
      <c r="O114">
        <v>4</v>
      </c>
      <c r="P114" s="6">
        <f>Work[[#This Row],[Delivered Date]]-Work[[#This Row],[Order Date]]</f>
        <v>10</v>
      </c>
      <c r="Q114" t="s">
        <v>28</v>
      </c>
      <c r="R114" t="s">
        <v>549</v>
      </c>
      <c r="S114" t="s">
        <v>46</v>
      </c>
    </row>
    <row r="115" spans="1:19" x14ac:dyDescent="0.35">
      <c r="A115">
        <v>423</v>
      </c>
      <c r="B115" t="s">
        <v>469</v>
      </c>
      <c r="C115" t="s">
        <v>17</v>
      </c>
      <c r="D115" t="s">
        <v>18</v>
      </c>
      <c r="E115" s="9">
        <v>45720</v>
      </c>
      <c r="F115" s="9">
        <v>45721</v>
      </c>
      <c r="G115" s="4" t="str">
        <f>TEXT(Work[[#This Row],[Delivered Date]],"mmm")</f>
        <v>Mar</v>
      </c>
      <c r="H115" s="16">
        <f>MONTH(Work[[#This Row],[Delivered Date]])</f>
        <v>3</v>
      </c>
      <c r="I115" s="1" t="str">
        <f>TEXT(Work[[#This Row],[Delivered Date]],"ddd")</f>
        <v>Wed</v>
      </c>
      <c r="J115" s="4">
        <f>_xlfn.XLOOKUP(Work[[#This Row],[Product Name]],Cost[Product Name],Cost[Cost Percentage],"NA")</f>
        <v>0.5</v>
      </c>
      <c r="K115" s="3">
        <v>587</v>
      </c>
      <c r="L115" s="3">
        <f>Work[[#This Row],[Unit Price]]*Work[[#This Row],[Quantity]]</f>
        <v>2348</v>
      </c>
      <c r="M115" s="3">
        <f>Work[[#This Row],[Revenue]]*Work[[#This Row],[cost percentage]]</f>
        <v>1174</v>
      </c>
      <c r="N115" s="3">
        <f>Work[[#This Row],[Revenue]]-Work[[#This Row],[Cost]]</f>
        <v>1174</v>
      </c>
      <c r="O115">
        <v>4</v>
      </c>
      <c r="P115" s="6">
        <f>Work[[#This Row],[Delivered Date]]-Work[[#This Row],[Order Date]]</f>
        <v>1</v>
      </c>
      <c r="Q115" t="s">
        <v>14</v>
      </c>
      <c r="R115" t="s">
        <v>547</v>
      </c>
      <c r="S115" t="s">
        <v>46</v>
      </c>
    </row>
    <row r="116" spans="1:19" x14ac:dyDescent="0.35">
      <c r="A116">
        <v>439</v>
      </c>
      <c r="B116" t="s">
        <v>485</v>
      </c>
      <c r="C116" t="s">
        <v>31</v>
      </c>
      <c r="D116" t="s">
        <v>42</v>
      </c>
      <c r="E116" s="9">
        <v>45738</v>
      </c>
      <c r="F116" s="9">
        <v>45745</v>
      </c>
      <c r="G116" s="4" t="str">
        <f>TEXT(Work[[#This Row],[Delivered Date]],"mmm")</f>
        <v>Mar</v>
      </c>
      <c r="H116" s="16">
        <f>MONTH(Work[[#This Row],[Delivered Date]])</f>
        <v>3</v>
      </c>
      <c r="I116" s="1" t="str">
        <f>TEXT(Work[[#This Row],[Delivered Date]],"ddd")</f>
        <v>Sat</v>
      </c>
      <c r="J116" s="4">
        <f>_xlfn.XLOOKUP(Work[[#This Row],[Product Name]],Cost[Product Name],Cost[Cost Percentage],"NA")</f>
        <v>0.65</v>
      </c>
      <c r="K116" s="3">
        <v>566</v>
      </c>
      <c r="L116" s="3">
        <f>Work[[#This Row],[Unit Price]]*Work[[#This Row],[Quantity]]</f>
        <v>1132</v>
      </c>
      <c r="M116" s="3">
        <f>Work[[#This Row],[Revenue]]*Work[[#This Row],[cost percentage]]</f>
        <v>735.80000000000007</v>
      </c>
      <c r="N116" s="3">
        <f>Work[[#This Row],[Revenue]]-Work[[#This Row],[Cost]]</f>
        <v>396.19999999999993</v>
      </c>
      <c r="O116">
        <v>2</v>
      </c>
      <c r="P116" s="6">
        <f>Work[[#This Row],[Delivered Date]]-Work[[#This Row],[Order Date]]</f>
        <v>7</v>
      </c>
      <c r="Q116" t="s">
        <v>28</v>
      </c>
      <c r="R116" t="s">
        <v>550</v>
      </c>
      <c r="S116" t="s">
        <v>19</v>
      </c>
    </row>
    <row r="117" spans="1:19" x14ac:dyDescent="0.35">
      <c r="A117">
        <v>443</v>
      </c>
      <c r="B117" t="s">
        <v>489</v>
      </c>
      <c r="C117" t="s">
        <v>21</v>
      </c>
      <c r="D117" t="s">
        <v>40</v>
      </c>
      <c r="E117" s="9">
        <v>45716</v>
      </c>
      <c r="F117" s="9">
        <v>45726</v>
      </c>
      <c r="G117" s="4" t="str">
        <f>TEXT(Work[[#This Row],[Delivered Date]],"mmm")</f>
        <v>Mar</v>
      </c>
      <c r="H117" s="16">
        <f>MONTH(Work[[#This Row],[Delivered Date]])</f>
        <v>3</v>
      </c>
      <c r="I117" s="1" t="str">
        <f>TEXT(Work[[#This Row],[Delivered Date]],"ddd")</f>
        <v>Mon</v>
      </c>
      <c r="J117" s="4">
        <f>_xlfn.XLOOKUP(Work[[#This Row],[Product Name]],Cost[Product Name],Cost[Cost Percentage],"NA")</f>
        <v>0.65</v>
      </c>
      <c r="K117" s="3">
        <v>733</v>
      </c>
      <c r="L117" s="3">
        <f>Work[[#This Row],[Unit Price]]*Work[[#This Row],[Quantity]]</f>
        <v>5864</v>
      </c>
      <c r="M117" s="3">
        <f>Work[[#This Row],[Revenue]]*Work[[#This Row],[cost percentage]]</f>
        <v>3811.6</v>
      </c>
      <c r="N117" s="3">
        <f>Work[[#This Row],[Revenue]]-Work[[#This Row],[Cost]]</f>
        <v>2052.4</v>
      </c>
      <c r="O117">
        <v>8</v>
      </c>
      <c r="P117" s="6">
        <f>Work[[#This Row],[Delivered Date]]-Work[[#This Row],[Order Date]]</f>
        <v>10</v>
      </c>
      <c r="Q117" t="s">
        <v>14</v>
      </c>
      <c r="R117" t="s">
        <v>551</v>
      </c>
      <c r="S117" t="s">
        <v>46</v>
      </c>
    </row>
    <row r="118" spans="1:19" x14ac:dyDescent="0.35">
      <c r="A118">
        <v>452</v>
      </c>
      <c r="B118" t="s">
        <v>498</v>
      </c>
      <c r="C118" t="s">
        <v>12</v>
      </c>
      <c r="D118" t="s">
        <v>36</v>
      </c>
      <c r="E118" s="9">
        <v>45739</v>
      </c>
      <c r="F118" s="9">
        <v>45745</v>
      </c>
      <c r="G118" s="4" t="str">
        <f>TEXT(Work[[#This Row],[Delivered Date]],"mmm")</f>
        <v>Mar</v>
      </c>
      <c r="H118" s="16">
        <f>MONTH(Work[[#This Row],[Delivered Date]])</f>
        <v>3</v>
      </c>
      <c r="I118" s="1" t="str">
        <f>TEXT(Work[[#This Row],[Delivered Date]],"ddd")</f>
        <v>Sat</v>
      </c>
      <c r="J118" s="4">
        <f>_xlfn.XLOOKUP(Work[[#This Row],[Product Name]],Cost[Product Name],Cost[Cost Percentage],"NA")</f>
        <v>0.8</v>
      </c>
      <c r="K118" s="3">
        <v>561</v>
      </c>
      <c r="L118" s="3">
        <f>Work[[#This Row],[Unit Price]]*Work[[#This Row],[Quantity]]</f>
        <v>1683</v>
      </c>
      <c r="M118" s="3">
        <f>Work[[#This Row],[Revenue]]*Work[[#This Row],[cost percentage]]</f>
        <v>1346.4</v>
      </c>
      <c r="N118" s="3">
        <f>Work[[#This Row],[Revenue]]-Work[[#This Row],[Cost]]</f>
        <v>336.59999999999991</v>
      </c>
      <c r="O118">
        <v>3</v>
      </c>
      <c r="P118" s="6">
        <f>Work[[#This Row],[Delivered Date]]-Work[[#This Row],[Order Date]]</f>
        <v>6</v>
      </c>
      <c r="Q118" t="s">
        <v>14</v>
      </c>
      <c r="R118" t="s">
        <v>33</v>
      </c>
      <c r="S118" t="s">
        <v>29</v>
      </c>
    </row>
    <row r="119" spans="1:19" x14ac:dyDescent="0.35">
      <c r="A119">
        <v>458</v>
      </c>
      <c r="B119" t="s">
        <v>504</v>
      </c>
      <c r="C119" t="s">
        <v>24</v>
      </c>
      <c r="D119" t="s">
        <v>70</v>
      </c>
      <c r="E119" s="9">
        <v>45728</v>
      </c>
      <c r="F119" s="9">
        <v>45732</v>
      </c>
      <c r="G119" s="4" t="str">
        <f>TEXT(Work[[#This Row],[Delivered Date]],"mmm")</f>
        <v>Mar</v>
      </c>
      <c r="H119" s="16">
        <f>MONTH(Work[[#This Row],[Delivered Date]])</f>
        <v>3</v>
      </c>
      <c r="I119" s="1" t="str">
        <f>TEXT(Work[[#This Row],[Delivered Date]],"ddd")</f>
        <v>Sun</v>
      </c>
      <c r="J119" s="4">
        <f>_xlfn.XLOOKUP(Work[[#This Row],[Product Name]],Cost[Product Name],Cost[Cost Percentage],"NA")</f>
        <v>0.55000000000000004</v>
      </c>
      <c r="K119" s="3">
        <v>154</v>
      </c>
      <c r="L119" s="3">
        <f>Work[[#This Row],[Unit Price]]*Work[[#This Row],[Quantity]]</f>
        <v>462</v>
      </c>
      <c r="M119" s="3">
        <f>Work[[#This Row],[Revenue]]*Work[[#This Row],[cost percentage]]</f>
        <v>254.10000000000002</v>
      </c>
      <c r="N119" s="3">
        <f>Work[[#This Row],[Revenue]]-Work[[#This Row],[Cost]]</f>
        <v>207.89999999999998</v>
      </c>
      <c r="O119">
        <v>3</v>
      </c>
      <c r="P119" s="6">
        <f>Work[[#This Row],[Delivered Date]]-Work[[#This Row],[Order Date]]</f>
        <v>4</v>
      </c>
      <c r="Q119" t="s">
        <v>28</v>
      </c>
      <c r="R119" t="s">
        <v>550</v>
      </c>
      <c r="S119" t="s">
        <v>29</v>
      </c>
    </row>
    <row r="120" spans="1:19" x14ac:dyDescent="0.35">
      <c r="A120">
        <v>469</v>
      </c>
      <c r="B120" t="s">
        <v>515</v>
      </c>
      <c r="C120" t="s">
        <v>21</v>
      </c>
      <c r="D120" t="s">
        <v>83</v>
      </c>
      <c r="E120" s="9">
        <v>45736</v>
      </c>
      <c r="F120" s="9">
        <v>45743</v>
      </c>
      <c r="G120" s="4" t="str">
        <f>TEXT(Work[[#This Row],[Delivered Date]],"mmm")</f>
        <v>Mar</v>
      </c>
      <c r="H120" s="16">
        <f>MONTH(Work[[#This Row],[Delivered Date]])</f>
        <v>3</v>
      </c>
      <c r="I120" s="1" t="str">
        <f>TEXT(Work[[#This Row],[Delivered Date]],"ddd")</f>
        <v>Thu</v>
      </c>
      <c r="J120" s="4">
        <f>_xlfn.XLOOKUP(Work[[#This Row],[Product Name]],Cost[Product Name],Cost[Cost Percentage],"NA")</f>
        <v>0.8</v>
      </c>
      <c r="K120" s="3">
        <v>662</v>
      </c>
      <c r="L120" s="3">
        <f>Work[[#This Row],[Unit Price]]*Work[[#This Row],[Quantity]]</f>
        <v>3972</v>
      </c>
      <c r="M120" s="3">
        <f>Work[[#This Row],[Revenue]]*Work[[#This Row],[cost percentage]]</f>
        <v>3177.6000000000004</v>
      </c>
      <c r="N120" s="3">
        <f>Work[[#This Row],[Revenue]]-Work[[#This Row],[Cost]]</f>
        <v>794.39999999999964</v>
      </c>
      <c r="O120">
        <v>6</v>
      </c>
      <c r="P120" s="6">
        <f>Work[[#This Row],[Delivered Date]]-Work[[#This Row],[Order Date]]</f>
        <v>7</v>
      </c>
      <c r="Q120" t="s">
        <v>14</v>
      </c>
      <c r="R120" t="s">
        <v>550</v>
      </c>
      <c r="S120" t="s">
        <v>46</v>
      </c>
    </row>
    <row r="121" spans="1:19" x14ac:dyDescent="0.35">
      <c r="A121">
        <v>480</v>
      </c>
      <c r="B121" t="s">
        <v>526</v>
      </c>
      <c r="C121" t="s">
        <v>21</v>
      </c>
      <c r="D121" t="s">
        <v>40</v>
      </c>
      <c r="E121" s="9">
        <v>45716</v>
      </c>
      <c r="F121" s="9">
        <v>45722</v>
      </c>
      <c r="G121" s="4" t="str">
        <f>TEXT(Work[[#This Row],[Delivered Date]],"mmm")</f>
        <v>Mar</v>
      </c>
      <c r="H121" s="16">
        <f>MONTH(Work[[#This Row],[Delivered Date]])</f>
        <v>3</v>
      </c>
      <c r="I121" s="1" t="str">
        <f>TEXT(Work[[#This Row],[Delivered Date]],"ddd")</f>
        <v>Thu</v>
      </c>
      <c r="J121" s="4">
        <f>_xlfn.XLOOKUP(Work[[#This Row],[Product Name]],Cost[Product Name],Cost[Cost Percentage],"NA")</f>
        <v>0.65</v>
      </c>
      <c r="K121" s="3">
        <v>996</v>
      </c>
      <c r="L121" s="3">
        <f>Work[[#This Row],[Unit Price]]*Work[[#This Row],[Quantity]]</f>
        <v>6972</v>
      </c>
      <c r="M121" s="3">
        <f>Work[[#This Row],[Revenue]]*Work[[#This Row],[cost percentage]]</f>
        <v>4531.8</v>
      </c>
      <c r="N121" s="3">
        <f>Work[[#This Row],[Revenue]]-Work[[#This Row],[Cost]]</f>
        <v>2440.1999999999998</v>
      </c>
      <c r="O121">
        <v>7</v>
      </c>
      <c r="P121" s="6">
        <f>Work[[#This Row],[Delivered Date]]-Work[[#This Row],[Order Date]]</f>
        <v>6</v>
      </c>
      <c r="Q121" t="s">
        <v>14</v>
      </c>
      <c r="R121" t="s">
        <v>547</v>
      </c>
      <c r="S121" t="s">
        <v>15</v>
      </c>
    </row>
    <row r="122" spans="1:19" x14ac:dyDescent="0.35">
      <c r="A122">
        <v>496</v>
      </c>
      <c r="B122" t="s">
        <v>43</v>
      </c>
      <c r="C122" t="s">
        <v>12</v>
      </c>
      <c r="D122" t="s">
        <v>13</v>
      </c>
      <c r="E122" s="9">
        <v>45709</v>
      </c>
      <c r="F122" s="9">
        <v>45718</v>
      </c>
      <c r="G122" s="4" t="str">
        <f>TEXT(Work[[#This Row],[Delivered Date]],"mmm")</f>
        <v>Mar</v>
      </c>
      <c r="H122" s="16">
        <f>MONTH(Work[[#This Row],[Delivered Date]])</f>
        <v>3</v>
      </c>
      <c r="I122" s="1" t="str">
        <f>TEXT(Work[[#This Row],[Delivered Date]],"ddd")</f>
        <v>Sun</v>
      </c>
      <c r="J122" s="4">
        <f>_xlfn.XLOOKUP(Work[[#This Row],[Product Name]],Cost[Product Name],Cost[Cost Percentage],"NA")</f>
        <v>0.75</v>
      </c>
      <c r="K122" s="3">
        <v>474</v>
      </c>
      <c r="L122" s="3">
        <f>Work[[#This Row],[Unit Price]]*Work[[#This Row],[Quantity]]</f>
        <v>474</v>
      </c>
      <c r="M122" s="3">
        <f>Work[[#This Row],[Revenue]]*Work[[#This Row],[cost percentage]]</f>
        <v>355.5</v>
      </c>
      <c r="N122" s="3">
        <f>Work[[#This Row],[Revenue]]-Work[[#This Row],[Cost]]</f>
        <v>118.5</v>
      </c>
      <c r="O122">
        <v>1</v>
      </c>
      <c r="P122" s="6">
        <f>Work[[#This Row],[Delivered Date]]-Work[[#This Row],[Order Date]]</f>
        <v>9</v>
      </c>
      <c r="Q122" t="s">
        <v>28</v>
      </c>
      <c r="R122" t="s">
        <v>33</v>
      </c>
      <c r="S122" t="s">
        <v>29</v>
      </c>
    </row>
    <row r="123" spans="1:19" x14ac:dyDescent="0.35">
      <c r="A123">
        <v>498</v>
      </c>
      <c r="B123" t="s">
        <v>61</v>
      </c>
      <c r="C123" t="s">
        <v>24</v>
      </c>
      <c r="D123" t="s">
        <v>25</v>
      </c>
      <c r="E123" s="9">
        <v>45741</v>
      </c>
      <c r="F123" s="9">
        <v>45745</v>
      </c>
      <c r="G123" s="4" t="str">
        <f>TEXT(Work[[#This Row],[Delivered Date]],"mmm")</f>
        <v>Mar</v>
      </c>
      <c r="H123" s="16">
        <f>MONTH(Work[[#This Row],[Delivered Date]])</f>
        <v>3</v>
      </c>
      <c r="I123" s="1" t="str">
        <f>TEXT(Work[[#This Row],[Delivered Date]],"ddd")</f>
        <v>Sat</v>
      </c>
      <c r="J123" s="4">
        <f>_xlfn.XLOOKUP(Work[[#This Row],[Product Name]],Cost[Product Name],Cost[Cost Percentage],"NA")</f>
        <v>0.55000000000000004</v>
      </c>
      <c r="K123" s="3">
        <v>247</v>
      </c>
      <c r="L123" s="3">
        <f>Work[[#This Row],[Unit Price]]*Work[[#This Row],[Quantity]]</f>
        <v>988</v>
      </c>
      <c r="M123" s="3">
        <f>Work[[#This Row],[Revenue]]*Work[[#This Row],[cost percentage]]</f>
        <v>543.40000000000009</v>
      </c>
      <c r="N123" s="3">
        <f>Work[[#This Row],[Revenue]]-Work[[#This Row],[Cost]]</f>
        <v>444.59999999999991</v>
      </c>
      <c r="O123">
        <v>4</v>
      </c>
      <c r="P123" s="6">
        <f>Work[[#This Row],[Delivered Date]]-Work[[#This Row],[Order Date]]</f>
        <v>4</v>
      </c>
      <c r="Q123" t="s">
        <v>14</v>
      </c>
      <c r="R123" t="s">
        <v>33</v>
      </c>
      <c r="S123" t="s">
        <v>46</v>
      </c>
    </row>
    <row r="124" spans="1:19" x14ac:dyDescent="0.35">
      <c r="A124">
        <v>515</v>
      </c>
      <c r="B124" t="s">
        <v>82</v>
      </c>
      <c r="C124" t="s">
        <v>24</v>
      </c>
      <c r="D124" t="s">
        <v>25</v>
      </c>
      <c r="E124" s="9">
        <v>45733</v>
      </c>
      <c r="F124" s="9">
        <v>45736</v>
      </c>
      <c r="G124" s="4" t="str">
        <f>TEXT(Work[[#This Row],[Delivered Date]],"mmm")</f>
        <v>Mar</v>
      </c>
      <c r="H124" s="16">
        <f>MONTH(Work[[#This Row],[Delivered Date]])</f>
        <v>3</v>
      </c>
      <c r="I124" s="1" t="str">
        <f>TEXT(Work[[#This Row],[Delivered Date]],"ddd")</f>
        <v>Thu</v>
      </c>
      <c r="J124" s="4">
        <f>_xlfn.XLOOKUP(Work[[#This Row],[Product Name]],Cost[Product Name],Cost[Cost Percentage],"NA")</f>
        <v>0.55000000000000004</v>
      </c>
      <c r="K124" s="3">
        <v>858</v>
      </c>
      <c r="L124" s="3">
        <f>Work[[#This Row],[Unit Price]]*Work[[#This Row],[Quantity]]</f>
        <v>6864</v>
      </c>
      <c r="M124" s="3">
        <f>Work[[#This Row],[Revenue]]*Work[[#This Row],[cost percentage]]</f>
        <v>3775.2000000000003</v>
      </c>
      <c r="N124" s="3">
        <f>Work[[#This Row],[Revenue]]-Work[[#This Row],[Cost]]</f>
        <v>3088.7999999999997</v>
      </c>
      <c r="O124">
        <v>8</v>
      </c>
      <c r="P124" s="6">
        <f>Work[[#This Row],[Delivered Date]]-Work[[#This Row],[Order Date]]</f>
        <v>3</v>
      </c>
      <c r="Q124" t="s">
        <v>28</v>
      </c>
      <c r="R124" t="s">
        <v>547</v>
      </c>
      <c r="S124" t="s">
        <v>19</v>
      </c>
    </row>
    <row r="125" spans="1:19" x14ac:dyDescent="0.35">
      <c r="A125">
        <v>522</v>
      </c>
      <c r="B125" t="s">
        <v>90</v>
      </c>
      <c r="C125" t="s">
        <v>31</v>
      </c>
      <c r="D125" t="s">
        <v>76</v>
      </c>
      <c r="E125" s="9">
        <v>45714</v>
      </c>
      <c r="F125" s="9">
        <v>45721</v>
      </c>
      <c r="G125" s="4" t="str">
        <f>TEXT(Work[[#This Row],[Delivered Date]],"mmm")</f>
        <v>Mar</v>
      </c>
      <c r="H125" s="16">
        <f>MONTH(Work[[#This Row],[Delivered Date]])</f>
        <v>3</v>
      </c>
      <c r="I125" s="1" t="str">
        <f>TEXT(Work[[#This Row],[Delivered Date]],"ddd")</f>
        <v>Wed</v>
      </c>
      <c r="J125" s="4">
        <f>_xlfn.XLOOKUP(Work[[#This Row],[Product Name]],Cost[Product Name],Cost[Cost Percentage],"NA")</f>
        <v>0.75</v>
      </c>
      <c r="K125" s="3">
        <v>444</v>
      </c>
      <c r="L125" s="3">
        <f>Work[[#This Row],[Unit Price]]*Work[[#This Row],[Quantity]]</f>
        <v>444</v>
      </c>
      <c r="M125" s="3">
        <f>Work[[#This Row],[Revenue]]*Work[[#This Row],[cost percentage]]</f>
        <v>333</v>
      </c>
      <c r="N125" s="3">
        <f>Work[[#This Row],[Revenue]]-Work[[#This Row],[Cost]]</f>
        <v>111</v>
      </c>
      <c r="O125">
        <v>1</v>
      </c>
      <c r="P125" s="6">
        <f>Work[[#This Row],[Delivered Date]]-Work[[#This Row],[Order Date]]</f>
        <v>7</v>
      </c>
      <c r="Q125" t="s">
        <v>28</v>
      </c>
      <c r="R125" t="s">
        <v>550</v>
      </c>
      <c r="S125" t="s">
        <v>15</v>
      </c>
    </row>
    <row r="126" spans="1:19" x14ac:dyDescent="0.35">
      <c r="A126">
        <v>544</v>
      </c>
      <c r="B126" t="s">
        <v>537</v>
      </c>
      <c r="C126" t="s">
        <v>12</v>
      </c>
      <c r="D126" t="s">
        <v>36</v>
      </c>
      <c r="E126" s="9">
        <v>45726</v>
      </c>
      <c r="F126" s="9">
        <v>45737</v>
      </c>
      <c r="G126" s="4" t="str">
        <f>TEXT(Work[[#This Row],[Delivered Date]],"mmm")</f>
        <v>Mar</v>
      </c>
      <c r="H126" s="16">
        <f>MONTH(Work[[#This Row],[Delivered Date]])</f>
        <v>3</v>
      </c>
      <c r="I126" s="1" t="str">
        <f>TEXT(Work[[#This Row],[Delivered Date]],"ddd")</f>
        <v>Fri</v>
      </c>
      <c r="J126" s="4">
        <f>_xlfn.XLOOKUP(Work[[#This Row],[Product Name]],Cost[Product Name],Cost[Cost Percentage],"NA")</f>
        <v>0.8</v>
      </c>
      <c r="K126" s="3">
        <v>944</v>
      </c>
      <c r="L126" s="3">
        <f>Work[[#This Row],[Unit Price]]*Work[[#This Row],[Quantity]]</f>
        <v>1888</v>
      </c>
      <c r="M126" s="3">
        <f>Work[[#This Row],[Revenue]]*Work[[#This Row],[cost percentage]]</f>
        <v>1510.4</v>
      </c>
      <c r="N126" s="3">
        <f>Work[[#This Row],[Revenue]]-Work[[#This Row],[Cost]]</f>
        <v>377.59999999999991</v>
      </c>
      <c r="O126">
        <v>2</v>
      </c>
      <c r="P126" s="6">
        <f>Work[[#This Row],[Delivered Date]]-Work[[#This Row],[Order Date]]</f>
        <v>11</v>
      </c>
      <c r="Q126" t="s">
        <v>28</v>
      </c>
      <c r="R126" t="s">
        <v>550</v>
      </c>
      <c r="S126" t="s">
        <v>19</v>
      </c>
    </row>
    <row r="127" spans="1:19" x14ac:dyDescent="0.35">
      <c r="A127">
        <v>553</v>
      </c>
      <c r="B127" t="s">
        <v>545</v>
      </c>
      <c r="C127" t="s">
        <v>31</v>
      </c>
      <c r="D127" t="s">
        <v>50</v>
      </c>
      <c r="E127" s="9">
        <v>45713</v>
      </c>
      <c r="F127" s="9">
        <v>45717</v>
      </c>
      <c r="G127" s="4" t="str">
        <f>TEXT(Work[[#This Row],[Delivered Date]],"mmm")</f>
        <v>Mar</v>
      </c>
      <c r="H127" s="16">
        <f>MONTH(Work[[#This Row],[Delivered Date]])</f>
        <v>3</v>
      </c>
      <c r="I127" s="1" t="str">
        <f>TEXT(Work[[#This Row],[Delivered Date]],"ddd")</f>
        <v>Sat</v>
      </c>
      <c r="J127" s="4">
        <f>_xlfn.XLOOKUP(Work[[#This Row],[Product Name]],Cost[Product Name],Cost[Cost Percentage],"NA")</f>
        <v>0.7</v>
      </c>
      <c r="K127" s="3">
        <v>380</v>
      </c>
      <c r="L127" s="3">
        <f>Work[[#This Row],[Unit Price]]*Work[[#This Row],[Quantity]]</f>
        <v>1140</v>
      </c>
      <c r="M127" s="3">
        <f>Work[[#This Row],[Revenue]]*Work[[#This Row],[cost percentage]]</f>
        <v>798</v>
      </c>
      <c r="N127" s="3">
        <f>Work[[#This Row],[Revenue]]-Work[[#This Row],[Cost]]</f>
        <v>342</v>
      </c>
      <c r="O127">
        <v>3</v>
      </c>
      <c r="P127" s="6">
        <f>Work[[#This Row],[Delivered Date]]-Work[[#This Row],[Order Date]]</f>
        <v>4</v>
      </c>
      <c r="Q127" t="s">
        <v>14</v>
      </c>
      <c r="R127" t="s">
        <v>549</v>
      </c>
      <c r="S127" t="s">
        <v>46</v>
      </c>
    </row>
    <row r="128" spans="1:19" x14ac:dyDescent="0.35">
      <c r="A128">
        <v>7</v>
      </c>
      <c r="B128" t="s">
        <v>34</v>
      </c>
      <c r="C128" t="s">
        <v>24</v>
      </c>
      <c r="D128" t="s">
        <v>25</v>
      </c>
      <c r="E128" s="9">
        <v>45375</v>
      </c>
      <c r="F128" s="9">
        <v>45387</v>
      </c>
      <c r="G128" s="4" t="str">
        <f>TEXT(Work[[#This Row],[Delivered Date]],"mmm")</f>
        <v>Apr</v>
      </c>
      <c r="H128" s="16">
        <f>MONTH(Work[[#This Row],[Delivered Date]])</f>
        <v>4</v>
      </c>
      <c r="I128" s="1" t="str">
        <f>TEXT(Work[[#This Row],[Delivered Date]],"ddd")</f>
        <v>Fri</v>
      </c>
      <c r="J128" s="4">
        <f>_xlfn.XLOOKUP(Work[[#This Row],[Product Name]],Cost[Product Name],Cost[Cost Percentage],"NA")</f>
        <v>0.55000000000000004</v>
      </c>
      <c r="K128" s="3">
        <v>373</v>
      </c>
      <c r="L128" s="3">
        <f>Work[[#This Row],[Unit Price]]*Work[[#This Row],[Quantity]]</f>
        <v>2238</v>
      </c>
      <c r="M128" s="3">
        <f>Work[[#This Row],[Revenue]]*Work[[#This Row],[cost percentage]]</f>
        <v>1230.9000000000001</v>
      </c>
      <c r="N128" s="3">
        <f>Work[[#This Row],[Revenue]]-Work[[#This Row],[Cost]]</f>
        <v>1007.0999999999999</v>
      </c>
      <c r="O128">
        <v>6</v>
      </c>
      <c r="P128" s="6">
        <f>Work[[#This Row],[Delivered Date]]-Work[[#This Row],[Order Date]]</f>
        <v>12</v>
      </c>
      <c r="Q128" t="s">
        <v>28</v>
      </c>
      <c r="R128" t="s">
        <v>551</v>
      </c>
      <c r="S128" t="s">
        <v>29</v>
      </c>
    </row>
    <row r="129" spans="1:19" x14ac:dyDescent="0.35">
      <c r="A129">
        <v>37</v>
      </c>
      <c r="B129" t="s">
        <v>78</v>
      </c>
      <c r="C129" t="s">
        <v>31</v>
      </c>
      <c r="D129" t="s">
        <v>79</v>
      </c>
      <c r="E129" s="9">
        <v>45372</v>
      </c>
      <c r="F129" s="9">
        <v>45386</v>
      </c>
      <c r="G129" s="4" t="str">
        <f>TEXT(Work[[#This Row],[Delivered Date]],"mmm")</f>
        <v>Apr</v>
      </c>
      <c r="H129" s="16">
        <f>MONTH(Work[[#This Row],[Delivered Date]])</f>
        <v>4</v>
      </c>
      <c r="I129" s="1" t="str">
        <f>TEXT(Work[[#This Row],[Delivered Date]],"ddd")</f>
        <v>Thu</v>
      </c>
      <c r="J129" s="4">
        <f>_xlfn.XLOOKUP(Work[[#This Row],[Product Name]],Cost[Product Name],Cost[Cost Percentage],"NA")</f>
        <v>0.65</v>
      </c>
      <c r="K129" s="3">
        <v>863</v>
      </c>
      <c r="L129" s="3">
        <f>Work[[#This Row],[Unit Price]]*Work[[#This Row],[Quantity]]</f>
        <v>6904</v>
      </c>
      <c r="M129" s="3">
        <f>Work[[#This Row],[Revenue]]*Work[[#This Row],[cost percentage]]</f>
        <v>4487.6000000000004</v>
      </c>
      <c r="N129" s="3">
        <f>Work[[#This Row],[Revenue]]-Work[[#This Row],[Cost]]</f>
        <v>2416.3999999999996</v>
      </c>
      <c r="O129">
        <v>8</v>
      </c>
      <c r="P129" s="6">
        <f>Work[[#This Row],[Delivered Date]]-Work[[#This Row],[Order Date]]</f>
        <v>14</v>
      </c>
      <c r="Q129" t="s">
        <v>28</v>
      </c>
      <c r="R129" t="s">
        <v>33</v>
      </c>
      <c r="S129" t="s">
        <v>46</v>
      </c>
    </row>
    <row r="130" spans="1:19" x14ac:dyDescent="0.35">
      <c r="A130">
        <v>40</v>
      </c>
      <c r="B130" t="s">
        <v>82</v>
      </c>
      <c r="C130" t="s">
        <v>21</v>
      </c>
      <c r="D130" t="s">
        <v>83</v>
      </c>
      <c r="E130" s="9">
        <v>45396</v>
      </c>
      <c r="F130" s="9">
        <v>45410</v>
      </c>
      <c r="G130" s="4" t="str">
        <f>TEXT(Work[[#This Row],[Delivered Date]],"mmm")</f>
        <v>Apr</v>
      </c>
      <c r="H130" s="16">
        <f>MONTH(Work[[#This Row],[Delivered Date]])</f>
        <v>4</v>
      </c>
      <c r="I130" s="1" t="str">
        <f>TEXT(Work[[#This Row],[Delivered Date]],"ddd")</f>
        <v>Sun</v>
      </c>
      <c r="J130" s="4">
        <f>_xlfn.XLOOKUP(Work[[#This Row],[Product Name]],Cost[Product Name],Cost[Cost Percentage],"NA")</f>
        <v>0.8</v>
      </c>
      <c r="K130" s="3">
        <v>527</v>
      </c>
      <c r="L130" s="3">
        <f>Work[[#This Row],[Unit Price]]*Work[[#This Row],[Quantity]]</f>
        <v>2635</v>
      </c>
      <c r="M130" s="3">
        <f>Work[[#This Row],[Revenue]]*Work[[#This Row],[cost percentage]]</f>
        <v>2108</v>
      </c>
      <c r="N130" s="3">
        <f>Work[[#This Row],[Revenue]]-Work[[#This Row],[Cost]]</f>
        <v>527</v>
      </c>
      <c r="O130">
        <v>5</v>
      </c>
      <c r="P130" s="6">
        <f>Work[[#This Row],[Delivered Date]]-Work[[#This Row],[Order Date]]</f>
        <v>14</v>
      </c>
      <c r="Q130" t="s">
        <v>14</v>
      </c>
      <c r="R130" t="s">
        <v>550</v>
      </c>
      <c r="S130" t="s">
        <v>19</v>
      </c>
    </row>
    <row r="131" spans="1:19" x14ac:dyDescent="0.35">
      <c r="A131">
        <v>55</v>
      </c>
      <c r="B131" t="s">
        <v>99</v>
      </c>
      <c r="C131" t="s">
        <v>24</v>
      </c>
      <c r="D131" t="s">
        <v>100</v>
      </c>
      <c r="E131" s="9">
        <v>45382</v>
      </c>
      <c r="F131" s="9">
        <v>45387</v>
      </c>
      <c r="G131" s="4" t="str">
        <f>TEXT(Work[[#This Row],[Delivered Date]],"mmm")</f>
        <v>Apr</v>
      </c>
      <c r="H131" s="16">
        <f>MONTH(Work[[#This Row],[Delivered Date]])</f>
        <v>4</v>
      </c>
      <c r="I131" s="1" t="str">
        <f>TEXT(Work[[#This Row],[Delivered Date]],"ddd")</f>
        <v>Fri</v>
      </c>
      <c r="J131" s="4">
        <f>_xlfn.XLOOKUP(Work[[#This Row],[Product Name]],Cost[Product Name],Cost[Cost Percentage],"NA")</f>
        <v>0.6</v>
      </c>
      <c r="K131" s="3">
        <v>485</v>
      </c>
      <c r="L131" s="3">
        <f>Work[[#This Row],[Unit Price]]*Work[[#This Row],[Quantity]]</f>
        <v>4365</v>
      </c>
      <c r="M131" s="3">
        <f>Work[[#This Row],[Revenue]]*Work[[#This Row],[cost percentage]]</f>
        <v>2619</v>
      </c>
      <c r="N131" s="3">
        <f>Work[[#This Row],[Revenue]]-Work[[#This Row],[Cost]]</f>
        <v>1746</v>
      </c>
      <c r="O131">
        <v>9</v>
      </c>
      <c r="P131" s="6">
        <f>Work[[#This Row],[Delivered Date]]-Work[[#This Row],[Order Date]]</f>
        <v>5</v>
      </c>
      <c r="Q131" t="s">
        <v>14</v>
      </c>
      <c r="R131" t="s">
        <v>551</v>
      </c>
      <c r="S131" t="s">
        <v>19</v>
      </c>
    </row>
    <row r="132" spans="1:19" x14ac:dyDescent="0.35">
      <c r="A132">
        <v>67</v>
      </c>
      <c r="B132" t="s">
        <v>112</v>
      </c>
      <c r="C132" t="s">
        <v>24</v>
      </c>
      <c r="D132" t="s">
        <v>38</v>
      </c>
      <c r="E132" s="9">
        <v>45393</v>
      </c>
      <c r="F132" s="9">
        <v>45406</v>
      </c>
      <c r="G132" s="4" t="str">
        <f>TEXT(Work[[#This Row],[Delivered Date]],"mmm")</f>
        <v>Apr</v>
      </c>
      <c r="H132" s="16">
        <f>MONTH(Work[[#This Row],[Delivered Date]])</f>
        <v>4</v>
      </c>
      <c r="I132" s="1" t="str">
        <f>TEXT(Work[[#This Row],[Delivered Date]],"ddd")</f>
        <v>Wed</v>
      </c>
      <c r="J132" s="4">
        <f>_xlfn.XLOOKUP(Work[[#This Row],[Product Name]],Cost[Product Name],Cost[Cost Percentage],"NA")</f>
        <v>0.5</v>
      </c>
      <c r="K132" s="3">
        <v>616</v>
      </c>
      <c r="L132" s="3">
        <f>Work[[#This Row],[Unit Price]]*Work[[#This Row],[Quantity]]</f>
        <v>1232</v>
      </c>
      <c r="M132" s="3">
        <f>Work[[#This Row],[Revenue]]*Work[[#This Row],[cost percentage]]</f>
        <v>616</v>
      </c>
      <c r="N132" s="3">
        <f>Work[[#This Row],[Revenue]]-Work[[#This Row],[Cost]]</f>
        <v>616</v>
      </c>
      <c r="O132">
        <v>2</v>
      </c>
      <c r="P132" s="6">
        <f>Work[[#This Row],[Delivered Date]]-Work[[#This Row],[Order Date]]</f>
        <v>13</v>
      </c>
      <c r="Q132" t="s">
        <v>14</v>
      </c>
      <c r="R132" t="s">
        <v>33</v>
      </c>
      <c r="S132" t="s">
        <v>15</v>
      </c>
    </row>
    <row r="133" spans="1:19" x14ac:dyDescent="0.35">
      <c r="A133">
        <v>70</v>
      </c>
      <c r="B133" t="s">
        <v>116</v>
      </c>
      <c r="C133" t="s">
        <v>21</v>
      </c>
      <c r="D133" t="s">
        <v>22</v>
      </c>
      <c r="E133" s="9">
        <v>45382</v>
      </c>
      <c r="F133" s="9">
        <v>45395</v>
      </c>
      <c r="G133" s="4" t="str">
        <f>TEXT(Work[[#This Row],[Delivered Date]],"mmm")</f>
        <v>Apr</v>
      </c>
      <c r="H133" s="16">
        <f>MONTH(Work[[#This Row],[Delivered Date]])</f>
        <v>4</v>
      </c>
      <c r="I133" s="1" t="str">
        <f>TEXT(Work[[#This Row],[Delivered Date]],"ddd")</f>
        <v>Sat</v>
      </c>
      <c r="J133" s="4">
        <f>_xlfn.XLOOKUP(Work[[#This Row],[Product Name]],Cost[Product Name],Cost[Cost Percentage],"NA")</f>
        <v>0.75</v>
      </c>
      <c r="K133" s="3">
        <v>998</v>
      </c>
      <c r="L133" s="3">
        <f>Work[[#This Row],[Unit Price]]*Work[[#This Row],[Quantity]]</f>
        <v>8982</v>
      </c>
      <c r="M133" s="3">
        <f>Work[[#This Row],[Revenue]]*Work[[#This Row],[cost percentage]]</f>
        <v>6736.5</v>
      </c>
      <c r="N133" s="3">
        <f>Work[[#This Row],[Revenue]]-Work[[#This Row],[Cost]]</f>
        <v>2245.5</v>
      </c>
      <c r="O133">
        <v>9</v>
      </c>
      <c r="P133" s="6">
        <f>Work[[#This Row],[Delivered Date]]-Work[[#This Row],[Order Date]]</f>
        <v>13</v>
      </c>
      <c r="Q133" t="s">
        <v>28</v>
      </c>
      <c r="R133" t="s">
        <v>33</v>
      </c>
      <c r="S133" t="s">
        <v>29</v>
      </c>
    </row>
    <row r="134" spans="1:19" x14ac:dyDescent="0.35">
      <c r="A134">
        <v>77</v>
      </c>
      <c r="B134" t="s">
        <v>123</v>
      </c>
      <c r="C134" t="s">
        <v>24</v>
      </c>
      <c r="D134" t="s">
        <v>25</v>
      </c>
      <c r="E134" s="9">
        <v>45386</v>
      </c>
      <c r="F134" s="9">
        <v>45397</v>
      </c>
      <c r="G134" s="4" t="str">
        <f>TEXT(Work[[#This Row],[Delivered Date]],"mmm")</f>
        <v>Apr</v>
      </c>
      <c r="H134" s="16">
        <f>MONTH(Work[[#This Row],[Delivered Date]])</f>
        <v>4</v>
      </c>
      <c r="I134" s="1" t="str">
        <f>TEXT(Work[[#This Row],[Delivered Date]],"ddd")</f>
        <v>Mon</v>
      </c>
      <c r="J134" s="4">
        <f>_xlfn.XLOOKUP(Work[[#This Row],[Product Name]],Cost[Product Name],Cost[Cost Percentage],"NA")</f>
        <v>0.55000000000000004</v>
      </c>
      <c r="K134" s="3">
        <v>268</v>
      </c>
      <c r="L134" s="3">
        <f>Work[[#This Row],[Unit Price]]*Work[[#This Row],[Quantity]]</f>
        <v>268</v>
      </c>
      <c r="M134" s="3">
        <f>Work[[#This Row],[Revenue]]*Work[[#This Row],[cost percentage]]</f>
        <v>147.4</v>
      </c>
      <c r="N134" s="3">
        <f>Work[[#This Row],[Revenue]]-Work[[#This Row],[Cost]]</f>
        <v>120.6</v>
      </c>
      <c r="O134">
        <v>1</v>
      </c>
      <c r="P134" s="6">
        <f>Work[[#This Row],[Delivered Date]]-Work[[#This Row],[Order Date]]</f>
        <v>11</v>
      </c>
      <c r="Q134" t="s">
        <v>14</v>
      </c>
      <c r="R134" t="s">
        <v>549</v>
      </c>
      <c r="S134" t="s">
        <v>15</v>
      </c>
    </row>
    <row r="135" spans="1:19" x14ac:dyDescent="0.35">
      <c r="A135">
        <v>80</v>
      </c>
      <c r="B135" t="s">
        <v>126</v>
      </c>
      <c r="C135" t="s">
        <v>17</v>
      </c>
      <c r="D135" t="s">
        <v>18</v>
      </c>
      <c r="E135" s="9">
        <v>45398</v>
      </c>
      <c r="F135" s="9">
        <v>45404</v>
      </c>
      <c r="G135" s="4" t="str">
        <f>TEXT(Work[[#This Row],[Delivered Date]],"mmm")</f>
        <v>Apr</v>
      </c>
      <c r="H135" s="16">
        <f>MONTH(Work[[#This Row],[Delivered Date]])</f>
        <v>4</v>
      </c>
      <c r="I135" s="1" t="str">
        <f>TEXT(Work[[#This Row],[Delivered Date]],"ddd")</f>
        <v>Mon</v>
      </c>
      <c r="J135" s="4">
        <f>_xlfn.XLOOKUP(Work[[#This Row],[Product Name]],Cost[Product Name],Cost[Cost Percentage],"NA")</f>
        <v>0.5</v>
      </c>
      <c r="K135" s="3">
        <v>280</v>
      </c>
      <c r="L135" s="3">
        <f>Work[[#This Row],[Unit Price]]*Work[[#This Row],[Quantity]]</f>
        <v>1120</v>
      </c>
      <c r="M135" s="3">
        <f>Work[[#This Row],[Revenue]]*Work[[#This Row],[cost percentage]]</f>
        <v>560</v>
      </c>
      <c r="N135" s="3">
        <f>Work[[#This Row],[Revenue]]-Work[[#This Row],[Cost]]</f>
        <v>560</v>
      </c>
      <c r="O135">
        <v>4</v>
      </c>
      <c r="P135" s="6">
        <f>Work[[#This Row],[Delivered Date]]-Work[[#This Row],[Order Date]]</f>
        <v>6</v>
      </c>
      <c r="Q135" t="s">
        <v>14</v>
      </c>
      <c r="R135" t="s">
        <v>33</v>
      </c>
      <c r="S135" t="s">
        <v>19</v>
      </c>
    </row>
    <row r="136" spans="1:19" x14ac:dyDescent="0.35">
      <c r="A136">
        <v>105</v>
      </c>
      <c r="B136" t="s">
        <v>151</v>
      </c>
      <c r="C136" t="s">
        <v>24</v>
      </c>
      <c r="D136" t="s">
        <v>100</v>
      </c>
      <c r="E136" s="9">
        <v>45394</v>
      </c>
      <c r="F136" s="9">
        <v>45403</v>
      </c>
      <c r="G136" s="4" t="str">
        <f>TEXT(Work[[#This Row],[Delivered Date]],"mmm")</f>
        <v>Apr</v>
      </c>
      <c r="H136" s="16">
        <f>MONTH(Work[[#This Row],[Delivered Date]])</f>
        <v>4</v>
      </c>
      <c r="I136" s="1" t="str">
        <f>TEXT(Work[[#This Row],[Delivered Date]],"ddd")</f>
        <v>Sun</v>
      </c>
      <c r="J136" s="4">
        <f>_xlfn.XLOOKUP(Work[[#This Row],[Product Name]],Cost[Product Name],Cost[Cost Percentage],"NA")</f>
        <v>0.6</v>
      </c>
      <c r="K136" s="3">
        <v>815</v>
      </c>
      <c r="L136" s="3">
        <f>Work[[#This Row],[Unit Price]]*Work[[#This Row],[Quantity]]</f>
        <v>2445</v>
      </c>
      <c r="M136" s="3">
        <f>Work[[#This Row],[Revenue]]*Work[[#This Row],[cost percentage]]</f>
        <v>1467</v>
      </c>
      <c r="N136" s="3">
        <f>Work[[#This Row],[Revenue]]-Work[[#This Row],[Cost]]</f>
        <v>978</v>
      </c>
      <c r="O136">
        <v>3</v>
      </c>
      <c r="P136" s="6">
        <f>Work[[#This Row],[Delivered Date]]-Work[[#This Row],[Order Date]]</f>
        <v>9</v>
      </c>
      <c r="Q136" t="s">
        <v>28</v>
      </c>
      <c r="R136" t="s">
        <v>33</v>
      </c>
      <c r="S136" t="s">
        <v>29</v>
      </c>
    </row>
    <row r="137" spans="1:19" x14ac:dyDescent="0.35">
      <c r="A137">
        <v>109</v>
      </c>
      <c r="B137" t="s">
        <v>155</v>
      </c>
      <c r="C137" t="s">
        <v>31</v>
      </c>
      <c r="D137" t="s">
        <v>32</v>
      </c>
      <c r="E137" s="9">
        <v>45405</v>
      </c>
      <c r="F137" s="9">
        <v>45410</v>
      </c>
      <c r="G137" s="4" t="str">
        <f>TEXT(Work[[#This Row],[Delivered Date]],"mmm")</f>
        <v>Apr</v>
      </c>
      <c r="H137" s="16">
        <f>MONTH(Work[[#This Row],[Delivered Date]])</f>
        <v>4</v>
      </c>
      <c r="I137" s="1" t="str">
        <f>TEXT(Work[[#This Row],[Delivered Date]],"ddd")</f>
        <v>Sun</v>
      </c>
      <c r="J137" s="4">
        <f>_xlfn.XLOOKUP(Work[[#This Row],[Product Name]],Cost[Product Name],Cost[Cost Percentage],"NA")</f>
        <v>0.75</v>
      </c>
      <c r="K137" s="3">
        <v>660</v>
      </c>
      <c r="L137" s="3">
        <f>Work[[#This Row],[Unit Price]]*Work[[#This Row],[Quantity]]</f>
        <v>1320</v>
      </c>
      <c r="M137" s="3">
        <f>Work[[#This Row],[Revenue]]*Work[[#This Row],[cost percentage]]</f>
        <v>990</v>
      </c>
      <c r="N137" s="3">
        <f>Work[[#This Row],[Revenue]]-Work[[#This Row],[Cost]]</f>
        <v>330</v>
      </c>
      <c r="O137">
        <v>2</v>
      </c>
      <c r="P137" s="6">
        <f>Work[[#This Row],[Delivered Date]]-Work[[#This Row],[Order Date]]</f>
        <v>5</v>
      </c>
      <c r="Q137" t="s">
        <v>28</v>
      </c>
      <c r="R137" t="s">
        <v>549</v>
      </c>
      <c r="S137" t="s">
        <v>46</v>
      </c>
    </row>
    <row r="138" spans="1:19" x14ac:dyDescent="0.35">
      <c r="A138">
        <v>115</v>
      </c>
      <c r="B138" t="s">
        <v>161</v>
      </c>
      <c r="C138" t="s">
        <v>17</v>
      </c>
      <c r="D138" t="s">
        <v>56</v>
      </c>
      <c r="E138" s="9">
        <v>45381</v>
      </c>
      <c r="F138" s="9">
        <v>45387</v>
      </c>
      <c r="G138" s="4" t="str">
        <f>TEXT(Work[[#This Row],[Delivered Date]],"mmm")</f>
        <v>Apr</v>
      </c>
      <c r="H138" s="16">
        <f>MONTH(Work[[#This Row],[Delivered Date]])</f>
        <v>4</v>
      </c>
      <c r="I138" s="1" t="str">
        <f>TEXT(Work[[#This Row],[Delivered Date]],"ddd")</f>
        <v>Fri</v>
      </c>
      <c r="J138" s="4">
        <f>_xlfn.XLOOKUP(Work[[#This Row],[Product Name]],Cost[Product Name],Cost[Cost Percentage],"NA")</f>
        <v>0.55000000000000004</v>
      </c>
      <c r="K138" s="3">
        <v>686</v>
      </c>
      <c r="L138" s="3">
        <f>Work[[#This Row],[Unit Price]]*Work[[#This Row],[Quantity]]</f>
        <v>1372</v>
      </c>
      <c r="M138" s="3">
        <f>Work[[#This Row],[Revenue]]*Work[[#This Row],[cost percentage]]</f>
        <v>754.6</v>
      </c>
      <c r="N138" s="3">
        <f>Work[[#This Row],[Revenue]]-Work[[#This Row],[Cost]]</f>
        <v>617.4</v>
      </c>
      <c r="O138">
        <v>2</v>
      </c>
      <c r="P138" s="6">
        <f>Work[[#This Row],[Delivered Date]]-Work[[#This Row],[Order Date]]</f>
        <v>6</v>
      </c>
      <c r="Q138" t="s">
        <v>14</v>
      </c>
      <c r="R138" t="s">
        <v>549</v>
      </c>
      <c r="S138" t="s">
        <v>15</v>
      </c>
    </row>
    <row r="139" spans="1:19" x14ac:dyDescent="0.35">
      <c r="A139">
        <v>158</v>
      </c>
      <c r="B139" t="s">
        <v>204</v>
      </c>
      <c r="C139" t="s">
        <v>17</v>
      </c>
      <c r="D139" t="s">
        <v>44</v>
      </c>
      <c r="E139" s="9">
        <v>45387</v>
      </c>
      <c r="F139" s="9">
        <v>45396</v>
      </c>
      <c r="G139" s="4" t="str">
        <f>TEXT(Work[[#This Row],[Delivered Date]],"mmm")</f>
        <v>Apr</v>
      </c>
      <c r="H139" s="16">
        <f>MONTH(Work[[#This Row],[Delivered Date]])</f>
        <v>4</v>
      </c>
      <c r="I139" s="1" t="str">
        <f>TEXT(Work[[#This Row],[Delivered Date]],"ddd")</f>
        <v>Sun</v>
      </c>
      <c r="J139" s="4">
        <f>_xlfn.XLOOKUP(Work[[#This Row],[Product Name]],Cost[Product Name],Cost[Cost Percentage],"NA")</f>
        <v>0.6</v>
      </c>
      <c r="K139" s="3">
        <v>546</v>
      </c>
      <c r="L139" s="3">
        <f>Work[[#This Row],[Unit Price]]*Work[[#This Row],[Quantity]]</f>
        <v>1092</v>
      </c>
      <c r="M139" s="3">
        <f>Work[[#This Row],[Revenue]]*Work[[#This Row],[cost percentage]]</f>
        <v>655.19999999999993</v>
      </c>
      <c r="N139" s="3">
        <f>Work[[#This Row],[Revenue]]-Work[[#This Row],[Cost]]</f>
        <v>436.80000000000007</v>
      </c>
      <c r="O139">
        <v>2</v>
      </c>
      <c r="P139" s="6">
        <f>Work[[#This Row],[Delivered Date]]-Work[[#This Row],[Order Date]]</f>
        <v>9</v>
      </c>
      <c r="Q139" t="s">
        <v>28</v>
      </c>
      <c r="R139" t="s">
        <v>547</v>
      </c>
      <c r="S139" t="s">
        <v>29</v>
      </c>
    </row>
    <row r="140" spans="1:19" x14ac:dyDescent="0.35">
      <c r="A140">
        <v>174</v>
      </c>
      <c r="B140" t="s">
        <v>220</v>
      </c>
      <c r="C140" t="s">
        <v>17</v>
      </c>
      <c r="D140" t="s">
        <v>60</v>
      </c>
      <c r="E140" s="9">
        <v>45385</v>
      </c>
      <c r="F140" s="9">
        <v>45393</v>
      </c>
      <c r="G140" s="4" t="str">
        <f>TEXT(Work[[#This Row],[Delivered Date]],"mmm")</f>
        <v>Apr</v>
      </c>
      <c r="H140" s="16">
        <f>MONTH(Work[[#This Row],[Delivered Date]])</f>
        <v>4</v>
      </c>
      <c r="I140" s="1" t="str">
        <f>TEXT(Work[[#This Row],[Delivered Date]],"ddd")</f>
        <v>Thu</v>
      </c>
      <c r="J140" s="4">
        <f>_xlfn.XLOOKUP(Work[[#This Row],[Product Name]],Cost[Product Name],Cost[Cost Percentage],"NA")</f>
        <v>0.65</v>
      </c>
      <c r="K140" s="3">
        <v>453</v>
      </c>
      <c r="L140" s="3">
        <f>Work[[#This Row],[Unit Price]]*Work[[#This Row],[Quantity]]</f>
        <v>1359</v>
      </c>
      <c r="M140" s="3">
        <f>Work[[#This Row],[Revenue]]*Work[[#This Row],[cost percentage]]</f>
        <v>883.35</v>
      </c>
      <c r="N140" s="3">
        <f>Work[[#This Row],[Revenue]]-Work[[#This Row],[Cost]]</f>
        <v>475.65</v>
      </c>
      <c r="O140">
        <v>3</v>
      </c>
      <c r="P140" s="6">
        <f>Work[[#This Row],[Delivered Date]]-Work[[#This Row],[Order Date]]</f>
        <v>8</v>
      </c>
      <c r="Q140" t="s">
        <v>14</v>
      </c>
      <c r="R140" t="s">
        <v>33</v>
      </c>
      <c r="S140" t="s">
        <v>29</v>
      </c>
    </row>
    <row r="141" spans="1:19" x14ac:dyDescent="0.35">
      <c r="A141">
        <v>176</v>
      </c>
      <c r="B141" t="s">
        <v>222</v>
      </c>
      <c r="C141" t="s">
        <v>17</v>
      </c>
      <c r="D141" t="s">
        <v>64</v>
      </c>
      <c r="E141" s="9">
        <v>45379</v>
      </c>
      <c r="F141" s="9">
        <v>45390</v>
      </c>
      <c r="G141" s="4" t="str">
        <f>TEXT(Work[[#This Row],[Delivered Date]],"mmm")</f>
        <v>Apr</v>
      </c>
      <c r="H141" s="16">
        <f>MONTH(Work[[#This Row],[Delivered Date]])</f>
        <v>4</v>
      </c>
      <c r="I141" s="1" t="str">
        <f>TEXT(Work[[#This Row],[Delivered Date]],"ddd")</f>
        <v>Mon</v>
      </c>
      <c r="J141" s="4">
        <f>_xlfn.XLOOKUP(Work[[#This Row],[Product Name]],Cost[Product Name],Cost[Cost Percentage],"NA")</f>
        <v>0.5</v>
      </c>
      <c r="K141" s="3">
        <v>747</v>
      </c>
      <c r="L141" s="3">
        <f>Work[[#This Row],[Unit Price]]*Work[[#This Row],[Quantity]]</f>
        <v>7470</v>
      </c>
      <c r="M141" s="3">
        <f>Work[[#This Row],[Revenue]]*Work[[#This Row],[cost percentage]]</f>
        <v>3735</v>
      </c>
      <c r="N141" s="3">
        <f>Work[[#This Row],[Revenue]]-Work[[#This Row],[Cost]]</f>
        <v>3735</v>
      </c>
      <c r="O141">
        <v>10</v>
      </c>
      <c r="P141" s="6">
        <f>Work[[#This Row],[Delivered Date]]-Work[[#This Row],[Order Date]]</f>
        <v>11</v>
      </c>
      <c r="Q141" t="s">
        <v>28</v>
      </c>
      <c r="R141" t="s">
        <v>33</v>
      </c>
      <c r="S141" t="s">
        <v>29</v>
      </c>
    </row>
    <row r="142" spans="1:19" x14ac:dyDescent="0.35">
      <c r="A142">
        <v>189</v>
      </c>
      <c r="B142" t="s">
        <v>235</v>
      </c>
      <c r="C142" t="s">
        <v>24</v>
      </c>
      <c r="D142" t="s">
        <v>25</v>
      </c>
      <c r="E142" s="9">
        <v>45380</v>
      </c>
      <c r="F142" s="9">
        <v>45385</v>
      </c>
      <c r="G142" s="4" t="str">
        <f>TEXT(Work[[#This Row],[Delivered Date]],"mmm")</f>
        <v>Apr</v>
      </c>
      <c r="H142" s="16">
        <f>MONTH(Work[[#This Row],[Delivered Date]])</f>
        <v>4</v>
      </c>
      <c r="I142" s="1" t="str">
        <f>TEXT(Work[[#This Row],[Delivered Date]],"ddd")</f>
        <v>Wed</v>
      </c>
      <c r="J142" s="4">
        <f>_xlfn.XLOOKUP(Work[[#This Row],[Product Name]],Cost[Product Name],Cost[Cost Percentage],"NA")</f>
        <v>0.55000000000000004</v>
      </c>
      <c r="K142" s="3">
        <v>944</v>
      </c>
      <c r="L142" s="3">
        <f>Work[[#This Row],[Unit Price]]*Work[[#This Row],[Quantity]]</f>
        <v>7552</v>
      </c>
      <c r="M142" s="3">
        <f>Work[[#This Row],[Revenue]]*Work[[#This Row],[cost percentage]]</f>
        <v>4153.6000000000004</v>
      </c>
      <c r="N142" s="3">
        <f>Work[[#This Row],[Revenue]]-Work[[#This Row],[Cost]]</f>
        <v>3398.3999999999996</v>
      </c>
      <c r="O142">
        <v>8</v>
      </c>
      <c r="P142" s="6">
        <f>Work[[#This Row],[Delivered Date]]-Work[[#This Row],[Order Date]]</f>
        <v>5</v>
      </c>
      <c r="Q142" t="s">
        <v>28</v>
      </c>
      <c r="R142" t="s">
        <v>33</v>
      </c>
      <c r="S142" t="s">
        <v>19</v>
      </c>
    </row>
    <row r="143" spans="1:19" x14ac:dyDescent="0.35">
      <c r="A143">
        <v>193</v>
      </c>
      <c r="B143" t="s">
        <v>239</v>
      </c>
      <c r="C143" t="s">
        <v>24</v>
      </c>
      <c r="D143" t="s">
        <v>100</v>
      </c>
      <c r="E143" s="9">
        <v>45395</v>
      </c>
      <c r="F143" s="9">
        <v>45408</v>
      </c>
      <c r="G143" s="4" t="str">
        <f>TEXT(Work[[#This Row],[Delivered Date]],"mmm")</f>
        <v>Apr</v>
      </c>
      <c r="H143" s="16">
        <f>MONTH(Work[[#This Row],[Delivered Date]])</f>
        <v>4</v>
      </c>
      <c r="I143" s="1" t="str">
        <f>TEXT(Work[[#This Row],[Delivered Date]],"ddd")</f>
        <v>Fri</v>
      </c>
      <c r="J143" s="4">
        <f>_xlfn.XLOOKUP(Work[[#This Row],[Product Name]],Cost[Product Name],Cost[Cost Percentage],"NA")</f>
        <v>0.6</v>
      </c>
      <c r="K143" s="3">
        <v>287</v>
      </c>
      <c r="L143" s="3">
        <f>Work[[#This Row],[Unit Price]]*Work[[#This Row],[Quantity]]</f>
        <v>2583</v>
      </c>
      <c r="M143" s="3">
        <f>Work[[#This Row],[Revenue]]*Work[[#This Row],[cost percentage]]</f>
        <v>1549.8</v>
      </c>
      <c r="N143" s="3">
        <f>Work[[#This Row],[Revenue]]-Work[[#This Row],[Cost]]</f>
        <v>1033.2</v>
      </c>
      <c r="O143">
        <v>9</v>
      </c>
      <c r="P143" s="6">
        <f>Work[[#This Row],[Delivered Date]]-Work[[#This Row],[Order Date]]</f>
        <v>13</v>
      </c>
      <c r="Q143" t="s">
        <v>14</v>
      </c>
      <c r="R143" t="s">
        <v>33</v>
      </c>
      <c r="S143" t="s">
        <v>19</v>
      </c>
    </row>
    <row r="144" spans="1:19" x14ac:dyDescent="0.35">
      <c r="A144">
        <v>212</v>
      </c>
      <c r="B144" t="s">
        <v>258</v>
      </c>
      <c r="C144" t="s">
        <v>31</v>
      </c>
      <c r="D144" t="s">
        <v>76</v>
      </c>
      <c r="E144" s="9">
        <v>45383</v>
      </c>
      <c r="F144" s="9">
        <v>45394</v>
      </c>
      <c r="G144" s="4" t="str">
        <f>TEXT(Work[[#This Row],[Delivered Date]],"mmm")</f>
        <v>Apr</v>
      </c>
      <c r="H144" s="16">
        <f>MONTH(Work[[#This Row],[Delivered Date]])</f>
        <v>4</v>
      </c>
      <c r="I144" s="1" t="str">
        <f>TEXT(Work[[#This Row],[Delivered Date]],"ddd")</f>
        <v>Fri</v>
      </c>
      <c r="J144" s="4">
        <f>_xlfn.XLOOKUP(Work[[#This Row],[Product Name]],Cost[Product Name],Cost[Cost Percentage],"NA")</f>
        <v>0.75</v>
      </c>
      <c r="K144" s="3">
        <v>412</v>
      </c>
      <c r="L144" s="3">
        <f>Work[[#This Row],[Unit Price]]*Work[[#This Row],[Quantity]]</f>
        <v>3708</v>
      </c>
      <c r="M144" s="3">
        <f>Work[[#This Row],[Revenue]]*Work[[#This Row],[cost percentage]]</f>
        <v>2781</v>
      </c>
      <c r="N144" s="3">
        <f>Work[[#This Row],[Revenue]]-Work[[#This Row],[Cost]]</f>
        <v>927</v>
      </c>
      <c r="O144">
        <v>9</v>
      </c>
      <c r="P144" s="6">
        <f>Work[[#This Row],[Delivered Date]]-Work[[#This Row],[Order Date]]</f>
        <v>11</v>
      </c>
      <c r="Q144" t="s">
        <v>28</v>
      </c>
      <c r="R144" t="s">
        <v>33</v>
      </c>
      <c r="S144" t="s">
        <v>19</v>
      </c>
    </row>
    <row r="145" spans="1:19" x14ac:dyDescent="0.35">
      <c r="A145">
        <v>220</v>
      </c>
      <c r="B145" t="s">
        <v>266</v>
      </c>
      <c r="C145" t="s">
        <v>12</v>
      </c>
      <c r="D145" t="s">
        <v>36</v>
      </c>
      <c r="E145" s="9">
        <v>45389</v>
      </c>
      <c r="F145" s="9">
        <v>45401</v>
      </c>
      <c r="G145" s="4" t="str">
        <f>TEXT(Work[[#This Row],[Delivered Date]],"mmm")</f>
        <v>Apr</v>
      </c>
      <c r="H145" s="16">
        <f>MONTH(Work[[#This Row],[Delivered Date]])</f>
        <v>4</v>
      </c>
      <c r="I145" s="1" t="str">
        <f>TEXT(Work[[#This Row],[Delivered Date]],"ddd")</f>
        <v>Fri</v>
      </c>
      <c r="J145" s="4">
        <f>_xlfn.XLOOKUP(Work[[#This Row],[Product Name]],Cost[Product Name],Cost[Cost Percentage],"NA")</f>
        <v>0.8</v>
      </c>
      <c r="K145" s="3">
        <v>284</v>
      </c>
      <c r="L145" s="3">
        <f>Work[[#This Row],[Unit Price]]*Work[[#This Row],[Quantity]]</f>
        <v>284</v>
      </c>
      <c r="M145" s="3">
        <f>Work[[#This Row],[Revenue]]*Work[[#This Row],[cost percentage]]</f>
        <v>227.20000000000002</v>
      </c>
      <c r="N145" s="3">
        <f>Work[[#This Row],[Revenue]]-Work[[#This Row],[Cost]]</f>
        <v>56.799999999999983</v>
      </c>
      <c r="O145">
        <v>1</v>
      </c>
      <c r="P145" s="6">
        <f>Work[[#This Row],[Delivered Date]]-Work[[#This Row],[Order Date]]</f>
        <v>12</v>
      </c>
      <c r="Q145" t="s">
        <v>28</v>
      </c>
      <c r="R145" t="s">
        <v>550</v>
      </c>
      <c r="S145" t="s">
        <v>15</v>
      </c>
    </row>
    <row r="146" spans="1:19" x14ac:dyDescent="0.35">
      <c r="A146">
        <v>221</v>
      </c>
      <c r="B146" t="s">
        <v>267</v>
      </c>
      <c r="C146" t="s">
        <v>12</v>
      </c>
      <c r="D146" t="s">
        <v>13</v>
      </c>
      <c r="E146" s="9">
        <v>45388</v>
      </c>
      <c r="F146" s="9">
        <v>45391</v>
      </c>
      <c r="G146" s="4" t="str">
        <f>TEXT(Work[[#This Row],[Delivered Date]],"mmm")</f>
        <v>Apr</v>
      </c>
      <c r="H146" s="16">
        <f>MONTH(Work[[#This Row],[Delivered Date]])</f>
        <v>4</v>
      </c>
      <c r="I146" s="1" t="str">
        <f>TEXT(Work[[#This Row],[Delivered Date]],"ddd")</f>
        <v>Tue</v>
      </c>
      <c r="J146" s="4">
        <f>_xlfn.XLOOKUP(Work[[#This Row],[Product Name]],Cost[Product Name],Cost[Cost Percentage],"NA")</f>
        <v>0.75</v>
      </c>
      <c r="K146" s="3">
        <v>751</v>
      </c>
      <c r="L146" s="3">
        <f>Work[[#This Row],[Unit Price]]*Work[[#This Row],[Quantity]]</f>
        <v>7510</v>
      </c>
      <c r="M146" s="3">
        <f>Work[[#This Row],[Revenue]]*Work[[#This Row],[cost percentage]]</f>
        <v>5632.5</v>
      </c>
      <c r="N146" s="3">
        <f>Work[[#This Row],[Revenue]]-Work[[#This Row],[Cost]]</f>
        <v>1877.5</v>
      </c>
      <c r="O146">
        <v>10</v>
      </c>
      <c r="P146" s="6">
        <f>Work[[#This Row],[Delivered Date]]-Work[[#This Row],[Order Date]]</f>
        <v>3</v>
      </c>
      <c r="Q146" t="s">
        <v>14</v>
      </c>
      <c r="R146" t="s">
        <v>33</v>
      </c>
      <c r="S146" t="s">
        <v>29</v>
      </c>
    </row>
    <row r="147" spans="1:19" x14ac:dyDescent="0.35">
      <c r="A147">
        <v>226</v>
      </c>
      <c r="B147" t="s">
        <v>272</v>
      </c>
      <c r="C147" t="s">
        <v>24</v>
      </c>
      <c r="D147" t="s">
        <v>25</v>
      </c>
      <c r="E147" s="9">
        <v>45370</v>
      </c>
      <c r="F147" s="9">
        <v>45390</v>
      </c>
      <c r="G147" s="4" t="str">
        <f>TEXT(Work[[#This Row],[Delivered Date]],"mmm")</f>
        <v>Apr</v>
      </c>
      <c r="H147" s="16">
        <f>MONTH(Work[[#This Row],[Delivered Date]])</f>
        <v>4</v>
      </c>
      <c r="I147" s="1" t="str">
        <f>TEXT(Work[[#This Row],[Delivered Date]],"ddd")</f>
        <v>Mon</v>
      </c>
      <c r="J147" s="4">
        <f>_xlfn.XLOOKUP(Work[[#This Row],[Product Name]],Cost[Product Name],Cost[Cost Percentage],"NA")</f>
        <v>0.55000000000000004</v>
      </c>
      <c r="K147" s="3">
        <v>347</v>
      </c>
      <c r="L147" s="3">
        <f>Work[[#This Row],[Unit Price]]*Work[[#This Row],[Quantity]]</f>
        <v>1388</v>
      </c>
      <c r="M147" s="3">
        <f>Work[[#This Row],[Revenue]]*Work[[#This Row],[cost percentage]]</f>
        <v>763.40000000000009</v>
      </c>
      <c r="N147" s="3">
        <f>Work[[#This Row],[Revenue]]-Work[[#This Row],[Cost]]</f>
        <v>624.59999999999991</v>
      </c>
      <c r="O147">
        <v>4</v>
      </c>
      <c r="P147" s="6">
        <f>Work[[#This Row],[Delivered Date]]-Work[[#This Row],[Order Date]]</f>
        <v>20</v>
      </c>
      <c r="Q147" t="s">
        <v>28</v>
      </c>
      <c r="R147" t="s">
        <v>551</v>
      </c>
      <c r="S147" t="s">
        <v>19</v>
      </c>
    </row>
    <row r="148" spans="1:19" x14ac:dyDescent="0.35">
      <c r="A148">
        <v>230</v>
      </c>
      <c r="B148" t="s">
        <v>276</v>
      </c>
      <c r="C148" t="s">
        <v>21</v>
      </c>
      <c r="D148" t="s">
        <v>40</v>
      </c>
      <c r="E148" s="9">
        <v>45403</v>
      </c>
      <c r="F148" s="9">
        <v>45410</v>
      </c>
      <c r="G148" s="4" t="str">
        <f>TEXT(Work[[#This Row],[Delivered Date]],"mmm")</f>
        <v>Apr</v>
      </c>
      <c r="H148" s="16">
        <f>MONTH(Work[[#This Row],[Delivered Date]])</f>
        <v>4</v>
      </c>
      <c r="I148" s="1" t="str">
        <f>TEXT(Work[[#This Row],[Delivered Date]],"ddd")</f>
        <v>Sun</v>
      </c>
      <c r="J148" s="4">
        <f>_xlfn.XLOOKUP(Work[[#This Row],[Product Name]],Cost[Product Name],Cost[Cost Percentage],"NA")</f>
        <v>0.65</v>
      </c>
      <c r="K148" s="3">
        <v>476</v>
      </c>
      <c r="L148" s="3">
        <f>Work[[#This Row],[Unit Price]]*Work[[#This Row],[Quantity]]</f>
        <v>4284</v>
      </c>
      <c r="M148" s="3">
        <f>Work[[#This Row],[Revenue]]*Work[[#This Row],[cost percentage]]</f>
        <v>2784.6</v>
      </c>
      <c r="N148" s="3">
        <f>Work[[#This Row],[Revenue]]-Work[[#This Row],[Cost]]</f>
        <v>1499.4</v>
      </c>
      <c r="O148">
        <v>9</v>
      </c>
      <c r="P148" s="6">
        <f>Work[[#This Row],[Delivered Date]]-Work[[#This Row],[Order Date]]</f>
        <v>7</v>
      </c>
      <c r="Q148" t="s">
        <v>28</v>
      </c>
      <c r="R148" t="s">
        <v>547</v>
      </c>
      <c r="S148" t="s">
        <v>46</v>
      </c>
    </row>
    <row r="149" spans="1:19" x14ac:dyDescent="0.35">
      <c r="A149">
        <v>247</v>
      </c>
      <c r="B149" t="s">
        <v>293</v>
      </c>
      <c r="C149" t="s">
        <v>12</v>
      </c>
      <c r="D149" t="s">
        <v>36</v>
      </c>
      <c r="E149" s="9">
        <v>45394</v>
      </c>
      <c r="F149" s="9">
        <v>45403</v>
      </c>
      <c r="G149" s="4" t="str">
        <f>TEXT(Work[[#This Row],[Delivered Date]],"mmm")</f>
        <v>Apr</v>
      </c>
      <c r="H149" s="16">
        <f>MONTH(Work[[#This Row],[Delivered Date]])</f>
        <v>4</v>
      </c>
      <c r="I149" s="1" t="str">
        <f>TEXT(Work[[#This Row],[Delivered Date]],"ddd")</f>
        <v>Sun</v>
      </c>
      <c r="J149" s="4">
        <f>_xlfn.XLOOKUP(Work[[#This Row],[Product Name]],Cost[Product Name],Cost[Cost Percentage],"NA")</f>
        <v>0.8</v>
      </c>
      <c r="K149" s="3">
        <v>568</v>
      </c>
      <c r="L149" s="3">
        <f>Work[[#This Row],[Unit Price]]*Work[[#This Row],[Quantity]]</f>
        <v>5680</v>
      </c>
      <c r="M149" s="3">
        <f>Work[[#This Row],[Revenue]]*Work[[#This Row],[cost percentage]]</f>
        <v>4544</v>
      </c>
      <c r="N149" s="3">
        <f>Work[[#This Row],[Revenue]]-Work[[#This Row],[Cost]]</f>
        <v>1136</v>
      </c>
      <c r="O149">
        <v>10</v>
      </c>
      <c r="P149" s="6">
        <f>Work[[#This Row],[Delivered Date]]-Work[[#This Row],[Order Date]]</f>
        <v>9</v>
      </c>
      <c r="Q149" t="s">
        <v>14</v>
      </c>
      <c r="R149" t="s">
        <v>548</v>
      </c>
      <c r="S149" t="s">
        <v>46</v>
      </c>
    </row>
    <row r="150" spans="1:19" x14ac:dyDescent="0.35">
      <c r="A150">
        <v>254</v>
      </c>
      <c r="B150" t="s">
        <v>300</v>
      </c>
      <c r="C150" t="s">
        <v>12</v>
      </c>
      <c r="D150" t="s">
        <v>36</v>
      </c>
      <c r="E150" s="9">
        <v>45393</v>
      </c>
      <c r="F150" s="9">
        <v>45403</v>
      </c>
      <c r="G150" s="4" t="str">
        <f>TEXT(Work[[#This Row],[Delivered Date]],"mmm")</f>
        <v>Apr</v>
      </c>
      <c r="H150" s="16">
        <f>MONTH(Work[[#This Row],[Delivered Date]])</f>
        <v>4</v>
      </c>
      <c r="I150" s="1" t="str">
        <f>TEXT(Work[[#This Row],[Delivered Date]],"ddd")</f>
        <v>Sun</v>
      </c>
      <c r="J150" s="4">
        <f>_xlfn.XLOOKUP(Work[[#This Row],[Product Name]],Cost[Product Name],Cost[Cost Percentage],"NA")</f>
        <v>0.8</v>
      </c>
      <c r="K150" s="3">
        <v>616</v>
      </c>
      <c r="L150" s="3">
        <f>Work[[#This Row],[Unit Price]]*Work[[#This Row],[Quantity]]</f>
        <v>4928</v>
      </c>
      <c r="M150" s="3">
        <f>Work[[#This Row],[Revenue]]*Work[[#This Row],[cost percentage]]</f>
        <v>3942.4</v>
      </c>
      <c r="N150" s="3">
        <f>Work[[#This Row],[Revenue]]-Work[[#This Row],[Cost]]</f>
        <v>985.59999999999991</v>
      </c>
      <c r="O150">
        <v>8</v>
      </c>
      <c r="P150" s="6">
        <f>Work[[#This Row],[Delivered Date]]-Work[[#This Row],[Order Date]]</f>
        <v>10</v>
      </c>
      <c r="Q150" t="s">
        <v>14</v>
      </c>
      <c r="R150" t="s">
        <v>550</v>
      </c>
      <c r="S150" t="s">
        <v>29</v>
      </c>
    </row>
    <row r="151" spans="1:19" x14ac:dyDescent="0.35">
      <c r="A151">
        <v>256</v>
      </c>
      <c r="B151" t="s">
        <v>302</v>
      </c>
      <c r="C151" t="s">
        <v>31</v>
      </c>
      <c r="D151" t="s">
        <v>79</v>
      </c>
      <c r="E151" s="9">
        <v>45392</v>
      </c>
      <c r="F151" s="9">
        <v>45402</v>
      </c>
      <c r="G151" s="4" t="str">
        <f>TEXT(Work[[#This Row],[Delivered Date]],"mmm")</f>
        <v>Apr</v>
      </c>
      <c r="H151" s="16">
        <f>MONTH(Work[[#This Row],[Delivered Date]])</f>
        <v>4</v>
      </c>
      <c r="I151" s="1" t="str">
        <f>TEXT(Work[[#This Row],[Delivered Date]],"ddd")</f>
        <v>Sat</v>
      </c>
      <c r="J151" s="4">
        <f>_xlfn.XLOOKUP(Work[[#This Row],[Product Name]],Cost[Product Name],Cost[Cost Percentage],"NA")</f>
        <v>0.65</v>
      </c>
      <c r="K151" s="3">
        <v>126</v>
      </c>
      <c r="L151" s="3">
        <f>Work[[#This Row],[Unit Price]]*Work[[#This Row],[Quantity]]</f>
        <v>1008</v>
      </c>
      <c r="M151" s="3">
        <f>Work[[#This Row],[Revenue]]*Work[[#This Row],[cost percentage]]</f>
        <v>655.20000000000005</v>
      </c>
      <c r="N151" s="3">
        <f>Work[[#This Row],[Revenue]]-Work[[#This Row],[Cost]]</f>
        <v>352.79999999999995</v>
      </c>
      <c r="O151">
        <v>8</v>
      </c>
      <c r="P151" s="6">
        <f>Work[[#This Row],[Delivered Date]]-Work[[#This Row],[Order Date]]</f>
        <v>10</v>
      </c>
      <c r="Q151" t="s">
        <v>28</v>
      </c>
      <c r="R151" t="s">
        <v>547</v>
      </c>
      <c r="S151" t="s">
        <v>15</v>
      </c>
    </row>
    <row r="152" spans="1:19" x14ac:dyDescent="0.35">
      <c r="A152">
        <v>265</v>
      </c>
      <c r="B152" t="s">
        <v>311</v>
      </c>
      <c r="C152" t="s">
        <v>12</v>
      </c>
      <c r="D152" t="s">
        <v>58</v>
      </c>
      <c r="E152" s="9">
        <v>45399</v>
      </c>
      <c r="F152" s="9">
        <v>45406</v>
      </c>
      <c r="G152" s="4" t="str">
        <f>TEXT(Work[[#This Row],[Delivered Date]],"mmm")</f>
        <v>Apr</v>
      </c>
      <c r="H152" s="16">
        <f>MONTH(Work[[#This Row],[Delivered Date]])</f>
        <v>4</v>
      </c>
      <c r="I152" s="1" t="str">
        <f>TEXT(Work[[#This Row],[Delivered Date]],"ddd")</f>
        <v>Wed</v>
      </c>
      <c r="J152" s="4">
        <f>_xlfn.XLOOKUP(Work[[#This Row],[Product Name]],Cost[Product Name],Cost[Cost Percentage],"NA")</f>
        <v>0.85</v>
      </c>
      <c r="K152" s="3">
        <v>715</v>
      </c>
      <c r="L152" s="3">
        <f>Work[[#This Row],[Unit Price]]*Work[[#This Row],[Quantity]]</f>
        <v>7150</v>
      </c>
      <c r="M152" s="3">
        <f>Work[[#This Row],[Revenue]]*Work[[#This Row],[cost percentage]]</f>
        <v>6077.5</v>
      </c>
      <c r="N152" s="3">
        <f>Work[[#This Row],[Revenue]]-Work[[#This Row],[Cost]]</f>
        <v>1072.5</v>
      </c>
      <c r="O152">
        <v>10</v>
      </c>
      <c r="P152" s="6">
        <f>Work[[#This Row],[Delivered Date]]-Work[[#This Row],[Order Date]]</f>
        <v>7</v>
      </c>
      <c r="Q152" t="s">
        <v>28</v>
      </c>
      <c r="R152" t="s">
        <v>547</v>
      </c>
      <c r="S152" t="s">
        <v>29</v>
      </c>
    </row>
    <row r="153" spans="1:19" x14ac:dyDescent="0.35">
      <c r="A153">
        <v>279</v>
      </c>
      <c r="B153" t="s">
        <v>325</v>
      </c>
      <c r="C153" t="s">
        <v>17</v>
      </c>
      <c r="D153" t="s">
        <v>44</v>
      </c>
      <c r="E153" s="9">
        <v>45403</v>
      </c>
      <c r="F153" s="9">
        <v>45409</v>
      </c>
      <c r="G153" s="4" t="str">
        <f>TEXT(Work[[#This Row],[Delivered Date]],"mmm")</f>
        <v>Apr</v>
      </c>
      <c r="H153" s="16">
        <f>MONTH(Work[[#This Row],[Delivered Date]])</f>
        <v>4</v>
      </c>
      <c r="I153" s="1" t="str">
        <f>TEXT(Work[[#This Row],[Delivered Date]],"ddd")</f>
        <v>Sat</v>
      </c>
      <c r="J153" s="4">
        <f>_xlfn.XLOOKUP(Work[[#This Row],[Product Name]],Cost[Product Name],Cost[Cost Percentage],"NA")</f>
        <v>0.6</v>
      </c>
      <c r="K153" s="3">
        <v>928</v>
      </c>
      <c r="L153" s="3">
        <f>Work[[#This Row],[Unit Price]]*Work[[#This Row],[Quantity]]</f>
        <v>1856</v>
      </c>
      <c r="M153" s="3">
        <f>Work[[#This Row],[Revenue]]*Work[[#This Row],[cost percentage]]</f>
        <v>1113.5999999999999</v>
      </c>
      <c r="N153" s="3">
        <f>Work[[#This Row],[Revenue]]-Work[[#This Row],[Cost]]</f>
        <v>742.40000000000009</v>
      </c>
      <c r="O153">
        <v>2</v>
      </c>
      <c r="P153" s="6">
        <f>Work[[#This Row],[Delivered Date]]-Work[[#This Row],[Order Date]]</f>
        <v>6</v>
      </c>
      <c r="Q153" t="s">
        <v>14</v>
      </c>
      <c r="R153" t="s">
        <v>548</v>
      </c>
      <c r="S153" t="s">
        <v>15</v>
      </c>
    </row>
    <row r="154" spans="1:19" x14ac:dyDescent="0.35">
      <c r="A154">
        <v>281</v>
      </c>
      <c r="B154" t="s">
        <v>327</v>
      </c>
      <c r="C154" t="s">
        <v>12</v>
      </c>
      <c r="D154" t="s">
        <v>96</v>
      </c>
      <c r="E154" s="9">
        <v>45397</v>
      </c>
      <c r="F154" s="9">
        <v>45400</v>
      </c>
      <c r="G154" s="4" t="str">
        <f>TEXT(Work[[#This Row],[Delivered Date]],"mmm")</f>
        <v>Apr</v>
      </c>
      <c r="H154" s="16">
        <f>MONTH(Work[[#This Row],[Delivered Date]])</f>
        <v>4</v>
      </c>
      <c r="I154" s="1" t="str">
        <f>TEXT(Work[[#This Row],[Delivered Date]],"ddd")</f>
        <v>Thu</v>
      </c>
      <c r="J154" s="4">
        <f>_xlfn.XLOOKUP(Work[[#This Row],[Product Name]],Cost[Product Name],Cost[Cost Percentage],"NA")</f>
        <v>0.7</v>
      </c>
      <c r="K154" s="3">
        <v>631</v>
      </c>
      <c r="L154" s="3">
        <f>Work[[#This Row],[Unit Price]]*Work[[#This Row],[Quantity]]</f>
        <v>5679</v>
      </c>
      <c r="M154" s="3">
        <f>Work[[#This Row],[Revenue]]*Work[[#This Row],[cost percentage]]</f>
        <v>3975.2999999999997</v>
      </c>
      <c r="N154" s="3">
        <f>Work[[#This Row],[Revenue]]-Work[[#This Row],[Cost]]</f>
        <v>1703.7000000000003</v>
      </c>
      <c r="O154">
        <v>9</v>
      </c>
      <c r="P154" s="6">
        <f>Work[[#This Row],[Delivered Date]]-Work[[#This Row],[Order Date]]</f>
        <v>3</v>
      </c>
      <c r="Q154" t="s">
        <v>28</v>
      </c>
      <c r="R154" t="s">
        <v>552</v>
      </c>
      <c r="S154" t="s">
        <v>19</v>
      </c>
    </row>
    <row r="155" spans="1:19" x14ac:dyDescent="0.35">
      <c r="A155">
        <v>289</v>
      </c>
      <c r="B155" t="s">
        <v>335</v>
      </c>
      <c r="C155" t="s">
        <v>17</v>
      </c>
      <c r="D155" t="s">
        <v>56</v>
      </c>
      <c r="E155" s="9">
        <v>45377</v>
      </c>
      <c r="F155" s="9">
        <v>45390</v>
      </c>
      <c r="G155" s="4" t="str">
        <f>TEXT(Work[[#This Row],[Delivered Date]],"mmm")</f>
        <v>Apr</v>
      </c>
      <c r="H155" s="16">
        <f>MONTH(Work[[#This Row],[Delivered Date]])</f>
        <v>4</v>
      </c>
      <c r="I155" s="1" t="str">
        <f>TEXT(Work[[#This Row],[Delivered Date]],"ddd")</f>
        <v>Mon</v>
      </c>
      <c r="J155" s="4">
        <f>_xlfn.XLOOKUP(Work[[#This Row],[Product Name]],Cost[Product Name],Cost[Cost Percentage],"NA")</f>
        <v>0.55000000000000004</v>
      </c>
      <c r="K155" s="3">
        <v>139</v>
      </c>
      <c r="L155" s="3">
        <f>Work[[#This Row],[Unit Price]]*Work[[#This Row],[Quantity]]</f>
        <v>834</v>
      </c>
      <c r="M155" s="3">
        <f>Work[[#This Row],[Revenue]]*Work[[#This Row],[cost percentage]]</f>
        <v>458.70000000000005</v>
      </c>
      <c r="N155" s="3">
        <f>Work[[#This Row],[Revenue]]-Work[[#This Row],[Cost]]</f>
        <v>375.29999999999995</v>
      </c>
      <c r="O155">
        <v>6</v>
      </c>
      <c r="P155" s="6">
        <f>Work[[#This Row],[Delivered Date]]-Work[[#This Row],[Order Date]]</f>
        <v>13</v>
      </c>
      <c r="Q155" t="s">
        <v>28</v>
      </c>
      <c r="R155" t="s">
        <v>552</v>
      </c>
      <c r="S155" t="s">
        <v>46</v>
      </c>
    </row>
    <row r="156" spans="1:19" x14ac:dyDescent="0.35">
      <c r="A156">
        <v>329</v>
      </c>
      <c r="B156" t="s">
        <v>375</v>
      </c>
      <c r="C156" t="s">
        <v>17</v>
      </c>
      <c r="D156" t="s">
        <v>56</v>
      </c>
      <c r="E156" s="9">
        <v>45760</v>
      </c>
      <c r="F156" s="9">
        <v>45764</v>
      </c>
      <c r="G156" s="4" t="str">
        <f>TEXT(Work[[#This Row],[Delivered Date]],"mmm")</f>
        <v>Apr</v>
      </c>
      <c r="H156" s="16">
        <f>MONTH(Work[[#This Row],[Delivered Date]])</f>
        <v>4</v>
      </c>
      <c r="I156" s="1" t="str">
        <f>TEXT(Work[[#This Row],[Delivered Date]],"ddd")</f>
        <v>Thu</v>
      </c>
      <c r="J156" s="4">
        <f>_xlfn.XLOOKUP(Work[[#This Row],[Product Name]],Cost[Product Name],Cost[Cost Percentage],"NA")</f>
        <v>0.55000000000000004</v>
      </c>
      <c r="K156" s="3">
        <v>62</v>
      </c>
      <c r="L156" s="3">
        <f>Work[[#This Row],[Unit Price]]*Work[[#This Row],[Quantity]]</f>
        <v>62</v>
      </c>
      <c r="M156" s="3">
        <f>Work[[#This Row],[Revenue]]*Work[[#This Row],[cost percentage]]</f>
        <v>34.1</v>
      </c>
      <c r="N156" s="3">
        <f>Work[[#This Row],[Revenue]]-Work[[#This Row],[Cost]]</f>
        <v>27.9</v>
      </c>
      <c r="O156">
        <v>1</v>
      </c>
      <c r="P156" s="6">
        <f>Work[[#This Row],[Delivered Date]]-Work[[#This Row],[Order Date]]</f>
        <v>4</v>
      </c>
      <c r="Q156" t="s">
        <v>28</v>
      </c>
      <c r="R156" t="s">
        <v>33</v>
      </c>
      <c r="S156" t="s">
        <v>15</v>
      </c>
    </row>
    <row r="157" spans="1:19" x14ac:dyDescent="0.35">
      <c r="A157">
        <v>332</v>
      </c>
      <c r="B157" t="s">
        <v>378</v>
      </c>
      <c r="C157" t="s">
        <v>12</v>
      </c>
      <c r="D157" t="s">
        <v>36</v>
      </c>
      <c r="E157" s="9">
        <v>45762</v>
      </c>
      <c r="F157" s="9">
        <v>45767</v>
      </c>
      <c r="G157" s="4" t="str">
        <f>TEXT(Work[[#This Row],[Delivered Date]],"mmm")</f>
        <v>Apr</v>
      </c>
      <c r="H157" s="16">
        <f>MONTH(Work[[#This Row],[Delivered Date]])</f>
        <v>4</v>
      </c>
      <c r="I157" s="1" t="str">
        <f>TEXT(Work[[#This Row],[Delivered Date]],"ddd")</f>
        <v>Sun</v>
      </c>
      <c r="J157" s="4">
        <f>_xlfn.XLOOKUP(Work[[#This Row],[Product Name]],Cost[Product Name],Cost[Cost Percentage],"NA")</f>
        <v>0.8</v>
      </c>
      <c r="K157" s="3">
        <v>280</v>
      </c>
      <c r="L157" s="3">
        <f>Work[[#This Row],[Unit Price]]*Work[[#This Row],[Quantity]]</f>
        <v>560</v>
      </c>
      <c r="M157" s="3">
        <f>Work[[#This Row],[Revenue]]*Work[[#This Row],[cost percentage]]</f>
        <v>448</v>
      </c>
      <c r="N157" s="3">
        <f>Work[[#This Row],[Revenue]]-Work[[#This Row],[Cost]]</f>
        <v>112</v>
      </c>
      <c r="O157">
        <v>2</v>
      </c>
      <c r="P157" s="6">
        <f>Work[[#This Row],[Delivered Date]]-Work[[#This Row],[Order Date]]</f>
        <v>5</v>
      </c>
      <c r="Q157" t="s">
        <v>14</v>
      </c>
      <c r="R157" t="s">
        <v>33</v>
      </c>
      <c r="S157" t="s">
        <v>19</v>
      </c>
    </row>
    <row r="158" spans="1:19" x14ac:dyDescent="0.35">
      <c r="A158">
        <v>342</v>
      </c>
      <c r="B158" t="s">
        <v>388</v>
      </c>
      <c r="C158" t="s">
        <v>24</v>
      </c>
      <c r="D158" t="s">
        <v>38</v>
      </c>
      <c r="E158" s="9">
        <v>45757</v>
      </c>
      <c r="F158" s="9">
        <v>45765</v>
      </c>
      <c r="G158" s="4" t="str">
        <f>TEXT(Work[[#This Row],[Delivered Date]],"mmm")</f>
        <v>Apr</v>
      </c>
      <c r="H158" s="16">
        <f>MONTH(Work[[#This Row],[Delivered Date]])</f>
        <v>4</v>
      </c>
      <c r="I158" s="1" t="str">
        <f>TEXT(Work[[#This Row],[Delivered Date]],"ddd")</f>
        <v>Fri</v>
      </c>
      <c r="J158" s="4">
        <f>_xlfn.XLOOKUP(Work[[#This Row],[Product Name]],Cost[Product Name],Cost[Cost Percentage],"NA")</f>
        <v>0.5</v>
      </c>
      <c r="K158" s="3">
        <v>923</v>
      </c>
      <c r="L158" s="3">
        <f>Work[[#This Row],[Unit Price]]*Work[[#This Row],[Quantity]]</f>
        <v>9230</v>
      </c>
      <c r="M158" s="3">
        <f>Work[[#This Row],[Revenue]]*Work[[#This Row],[cost percentage]]</f>
        <v>4615</v>
      </c>
      <c r="N158" s="3">
        <f>Work[[#This Row],[Revenue]]-Work[[#This Row],[Cost]]</f>
        <v>4615</v>
      </c>
      <c r="O158">
        <v>10</v>
      </c>
      <c r="P158" s="6">
        <f>Work[[#This Row],[Delivered Date]]-Work[[#This Row],[Order Date]]</f>
        <v>8</v>
      </c>
      <c r="Q158" t="s">
        <v>14</v>
      </c>
      <c r="R158" t="s">
        <v>549</v>
      </c>
      <c r="S158" t="s">
        <v>29</v>
      </c>
    </row>
    <row r="159" spans="1:19" x14ac:dyDescent="0.35">
      <c r="A159">
        <v>349</v>
      </c>
      <c r="B159" t="s">
        <v>395</v>
      </c>
      <c r="C159" t="s">
        <v>17</v>
      </c>
      <c r="D159" t="s">
        <v>56</v>
      </c>
      <c r="E159" s="9">
        <v>45742</v>
      </c>
      <c r="F159" s="9">
        <v>45751</v>
      </c>
      <c r="G159" s="4" t="str">
        <f>TEXT(Work[[#This Row],[Delivered Date]],"mmm")</f>
        <v>Apr</v>
      </c>
      <c r="H159" s="16">
        <f>MONTH(Work[[#This Row],[Delivered Date]])</f>
        <v>4</v>
      </c>
      <c r="I159" s="1" t="str">
        <f>TEXT(Work[[#This Row],[Delivered Date]],"ddd")</f>
        <v>Fri</v>
      </c>
      <c r="J159" s="4">
        <f>_xlfn.XLOOKUP(Work[[#This Row],[Product Name]],Cost[Product Name],Cost[Cost Percentage],"NA")</f>
        <v>0.55000000000000004</v>
      </c>
      <c r="K159" s="3">
        <v>216</v>
      </c>
      <c r="L159" s="3">
        <f>Work[[#This Row],[Unit Price]]*Work[[#This Row],[Quantity]]</f>
        <v>1512</v>
      </c>
      <c r="M159" s="3">
        <f>Work[[#This Row],[Revenue]]*Work[[#This Row],[cost percentage]]</f>
        <v>831.6</v>
      </c>
      <c r="N159" s="3">
        <f>Work[[#This Row],[Revenue]]-Work[[#This Row],[Cost]]</f>
        <v>680.4</v>
      </c>
      <c r="O159">
        <v>7</v>
      </c>
      <c r="P159" s="6">
        <f>Work[[#This Row],[Delivered Date]]-Work[[#This Row],[Order Date]]</f>
        <v>9</v>
      </c>
      <c r="Q159" t="s">
        <v>28</v>
      </c>
      <c r="R159" t="s">
        <v>550</v>
      </c>
      <c r="S159" t="s">
        <v>19</v>
      </c>
    </row>
    <row r="160" spans="1:19" x14ac:dyDescent="0.35">
      <c r="A160">
        <v>360</v>
      </c>
      <c r="B160" t="s">
        <v>406</v>
      </c>
      <c r="C160" t="s">
        <v>31</v>
      </c>
      <c r="D160" t="s">
        <v>76</v>
      </c>
      <c r="E160" s="9">
        <v>45759</v>
      </c>
      <c r="F160" s="9">
        <v>45767</v>
      </c>
      <c r="G160" s="4" t="str">
        <f>TEXT(Work[[#This Row],[Delivered Date]],"mmm")</f>
        <v>Apr</v>
      </c>
      <c r="H160" s="16">
        <f>MONTH(Work[[#This Row],[Delivered Date]])</f>
        <v>4</v>
      </c>
      <c r="I160" s="1" t="str">
        <f>TEXT(Work[[#This Row],[Delivered Date]],"ddd")</f>
        <v>Sun</v>
      </c>
      <c r="J160" s="4">
        <f>_xlfn.XLOOKUP(Work[[#This Row],[Product Name]],Cost[Product Name],Cost[Cost Percentage],"NA")</f>
        <v>0.75</v>
      </c>
      <c r="K160" s="3">
        <v>744</v>
      </c>
      <c r="L160" s="3">
        <f>Work[[#This Row],[Unit Price]]*Work[[#This Row],[Quantity]]</f>
        <v>5208</v>
      </c>
      <c r="M160" s="3">
        <f>Work[[#This Row],[Revenue]]*Work[[#This Row],[cost percentage]]</f>
        <v>3906</v>
      </c>
      <c r="N160" s="3">
        <f>Work[[#This Row],[Revenue]]-Work[[#This Row],[Cost]]</f>
        <v>1302</v>
      </c>
      <c r="O160">
        <v>7</v>
      </c>
      <c r="P160" s="6">
        <f>Work[[#This Row],[Delivered Date]]-Work[[#This Row],[Order Date]]</f>
        <v>8</v>
      </c>
      <c r="Q160" t="s">
        <v>14</v>
      </c>
      <c r="R160" t="s">
        <v>550</v>
      </c>
      <c r="S160" t="s">
        <v>19</v>
      </c>
    </row>
    <row r="161" spans="1:21" x14ac:dyDescent="0.35">
      <c r="A161">
        <v>383</v>
      </c>
      <c r="B161" t="s">
        <v>429</v>
      </c>
      <c r="C161" t="s">
        <v>12</v>
      </c>
      <c r="D161" t="s">
        <v>58</v>
      </c>
      <c r="E161" s="9">
        <v>45764</v>
      </c>
      <c r="F161" s="9">
        <v>45769</v>
      </c>
      <c r="G161" s="4" t="str">
        <f>TEXT(Work[[#This Row],[Delivered Date]],"mmm")</f>
        <v>Apr</v>
      </c>
      <c r="H161" s="16">
        <f>MONTH(Work[[#This Row],[Delivered Date]])</f>
        <v>4</v>
      </c>
      <c r="I161" s="1" t="str">
        <f>TEXT(Work[[#This Row],[Delivered Date]],"ddd")</f>
        <v>Tue</v>
      </c>
      <c r="J161" s="4">
        <f>_xlfn.XLOOKUP(Work[[#This Row],[Product Name]],Cost[Product Name],Cost[Cost Percentage],"NA")</f>
        <v>0.85</v>
      </c>
      <c r="K161" s="3">
        <v>860</v>
      </c>
      <c r="L161" s="3">
        <f>Work[[#This Row],[Unit Price]]*Work[[#This Row],[Quantity]]</f>
        <v>7740</v>
      </c>
      <c r="M161" s="3">
        <f>Work[[#This Row],[Revenue]]*Work[[#This Row],[cost percentage]]</f>
        <v>6579</v>
      </c>
      <c r="N161" s="3">
        <f>Work[[#This Row],[Revenue]]-Work[[#This Row],[Cost]]</f>
        <v>1161</v>
      </c>
      <c r="O161">
        <v>9</v>
      </c>
      <c r="P161" s="6">
        <f>Work[[#This Row],[Delivered Date]]-Work[[#This Row],[Order Date]]</f>
        <v>5</v>
      </c>
      <c r="Q161" t="s">
        <v>14</v>
      </c>
      <c r="R161" t="s">
        <v>547</v>
      </c>
      <c r="S161" t="s">
        <v>46</v>
      </c>
    </row>
    <row r="162" spans="1:21" x14ac:dyDescent="0.35">
      <c r="A162">
        <v>406</v>
      </c>
      <c r="B162" t="s">
        <v>452</v>
      </c>
      <c r="C162" t="s">
        <v>31</v>
      </c>
      <c r="D162" t="s">
        <v>50</v>
      </c>
      <c r="E162" s="9">
        <v>45753</v>
      </c>
      <c r="F162" s="9">
        <v>45760</v>
      </c>
      <c r="G162" s="4" t="str">
        <f>TEXT(Work[[#This Row],[Delivered Date]],"mmm")</f>
        <v>Apr</v>
      </c>
      <c r="H162" s="16">
        <f>MONTH(Work[[#This Row],[Delivered Date]])</f>
        <v>4</v>
      </c>
      <c r="I162" s="1" t="str">
        <f>TEXT(Work[[#This Row],[Delivered Date]],"ddd")</f>
        <v>Sun</v>
      </c>
      <c r="J162" s="4">
        <f>_xlfn.XLOOKUP(Work[[#This Row],[Product Name]],Cost[Product Name],Cost[Cost Percentage],"NA")</f>
        <v>0.7</v>
      </c>
      <c r="K162" s="3">
        <v>386</v>
      </c>
      <c r="L162" s="3">
        <f>Work[[#This Row],[Unit Price]]*Work[[#This Row],[Quantity]]</f>
        <v>386</v>
      </c>
      <c r="M162" s="3">
        <f>Work[[#This Row],[Revenue]]*Work[[#This Row],[cost percentage]]</f>
        <v>270.2</v>
      </c>
      <c r="N162" s="3">
        <f>Work[[#This Row],[Revenue]]-Work[[#This Row],[Cost]]</f>
        <v>115.80000000000001</v>
      </c>
      <c r="O162">
        <v>1</v>
      </c>
      <c r="P162" s="6">
        <f>Work[[#This Row],[Delivered Date]]-Work[[#This Row],[Order Date]]</f>
        <v>7</v>
      </c>
      <c r="Q162" t="s">
        <v>14</v>
      </c>
      <c r="R162" t="s">
        <v>551</v>
      </c>
      <c r="S162" t="s">
        <v>19</v>
      </c>
    </row>
    <row r="163" spans="1:21" x14ac:dyDescent="0.35">
      <c r="A163">
        <v>444</v>
      </c>
      <c r="B163" t="s">
        <v>490</v>
      </c>
      <c r="C163" t="s">
        <v>21</v>
      </c>
      <c r="D163" t="s">
        <v>22</v>
      </c>
      <c r="E163" s="9">
        <v>45758</v>
      </c>
      <c r="F163" s="9">
        <v>45761</v>
      </c>
      <c r="G163" s="4" t="str">
        <f>TEXT(Work[[#This Row],[Delivered Date]],"mmm")</f>
        <v>Apr</v>
      </c>
      <c r="H163" s="16">
        <f>MONTH(Work[[#This Row],[Delivered Date]])</f>
        <v>4</v>
      </c>
      <c r="I163" s="1" t="str">
        <f>TEXT(Work[[#This Row],[Delivered Date]],"ddd")</f>
        <v>Mon</v>
      </c>
      <c r="J163" s="4">
        <f>_xlfn.XLOOKUP(Work[[#This Row],[Product Name]],Cost[Product Name],Cost[Cost Percentage],"NA")</f>
        <v>0.75</v>
      </c>
      <c r="K163" s="3">
        <v>258</v>
      </c>
      <c r="L163" s="3">
        <f>Work[[#This Row],[Unit Price]]*Work[[#This Row],[Quantity]]</f>
        <v>2064</v>
      </c>
      <c r="M163" s="3">
        <f>Work[[#This Row],[Revenue]]*Work[[#This Row],[cost percentage]]</f>
        <v>1548</v>
      </c>
      <c r="N163" s="3">
        <f>Work[[#This Row],[Revenue]]-Work[[#This Row],[Cost]]</f>
        <v>516</v>
      </c>
      <c r="O163">
        <v>8</v>
      </c>
      <c r="P163" s="6">
        <f>Work[[#This Row],[Delivered Date]]-Work[[#This Row],[Order Date]]</f>
        <v>3</v>
      </c>
      <c r="Q163" t="s">
        <v>14</v>
      </c>
      <c r="R163" t="s">
        <v>547</v>
      </c>
      <c r="S163" t="s">
        <v>15</v>
      </c>
    </row>
    <row r="164" spans="1:21" x14ac:dyDescent="0.35">
      <c r="A164">
        <v>445</v>
      </c>
      <c r="B164" t="s">
        <v>491</v>
      </c>
      <c r="C164" t="s">
        <v>21</v>
      </c>
      <c r="D164" t="s">
        <v>22</v>
      </c>
      <c r="E164" s="9">
        <v>45742</v>
      </c>
      <c r="F164" s="9">
        <v>45748</v>
      </c>
      <c r="G164" s="4" t="str">
        <f>TEXT(Work[[#This Row],[Delivered Date]],"mmm")</f>
        <v>Apr</v>
      </c>
      <c r="H164" s="16">
        <f>MONTH(Work[[#This Row],[Delivered Date]])</f>
        <v>4</v>
      </c>
      <c r="I164" s="1" t="str">
        <f>TEXT(Work[[#This Row],[Delivered Date]],"ddd")</f>
        <v>Tue</v>
      </c>
      <c r="J164" s="4">
        <f>_xlfn.XLOOKUP(Work[[#This Row],[Product Name]],Cost[Product Name],Cost[Cost Percentage],"NA")</f>
        <v>0.75</v>
      </c>
      <c r="K164" s="3">
        <v>405</v>
      </c>
      <c r="L164" s="3">
        <f>Work[[#This Row],[Unit Price]]*Work[[#This Row],[Quantity]]</f>
        <v>4050</v>
      </c>
      <c r="M164" s="3">
        <f>Work[[#This Row],[Revenue]]*Work[[#This Row],[cost percentage]]</f>
        <v>3037.5</v>
      </c>
      <c r="N164" s="3">
        <f>Work[[#This Row],[Revenue]]-Work[[#This Row],[Cost]]</f>
        <v>1012.5</v>
      </c>
      <c r="O164">
        <v>10</v>
      </c>
      <c r="P164" s="6">
        <f>Work[[#This Row],[Delivered Date]]-Work[[#This Row],[Order Date]]</f>
        <v>6</v>
      </c>
      <c r="Q164" t="s">
        <v>14</v>
      </c>
      <c r="R164" t="s">
        <v>33</v>
      </c>
      <c r="S164" t="s">
        <v>46</v>
      </c>
      <c r="U164" t="s">
        <v>554</v>
      </c>
    </row>
    <row r="165" spans="1:21" x14ac:dyDescent="0.35">
      <c r="A165">
        <v>448</v>
      </c>
      <c r="B165" t="s">
        <v>494</v>
      </c>
      <c r="C165" t="s">
        <v>31</v>
      </c>
      <c r="D165" t="s">
        <v>42</v>
      </c>
      <c r="E165" s="9">
        <v>45768</v>
      </c>
      <c r="F165" s="9">
        <v>45772</v>
      </c>
      <c r="G165" s="4" t="str">
        <f>TEXT(Work[[#This Row],[Delivered Date]],"mmm")</f>
        <v>Apr</v>
      </c>
      <c r="H165" s="16">
        <f>MONTH(Work[[#This Row],[Delivered Date]])</f>
        <v>4</v>
      </c>
      <c r="I165" s="1" t="str">
        <f>TEXT(Work[[#This Row],[Delivered Date]],"ddd")</f>
        <v>Fri</v>
      </c>
      <c r="J165" s="4">
        <f>_xlfn.XLOOKUP(Work[[#This Row],[Product Name]],Cost[Product Name],Cost[Cost Percentage],"NA")</f>
        <v>0.65</v>
      </c>
      <c r="K165" s="3">
        <v>67</v>
      </c>
      <c r="L165" s="3">
        <f>Work[[#This Row],[Unit Price]]*Work[[#This Row],[Quantity]]</f>
        <v>603</v>
      </c>
      <c r="M165" s="3">
        <f>Work[[#This Row],[Revenue]]*Work[[#This Row],[cost percentage]]</f>
        <v>391.95</v>
      </c>
      <c r="N165" s="3">
        <f>Work[[#This Row],[Revenue]]-Work[[#This Row],[Cost]]</f>
        <v>211.05</v>
      </c>
      <c r="O165">
        <v>9</v>
      </c>
      <c r="P165" s="6">
        <f>Work[[#This Row],[Delivered Date]]-Work[[#This Row],[Order Date]]</f>
        <v>4</v>
      </c>
      <c r="Q165" t="s">
        <v>14</v>
      </c>
      <c r="R165" t="s">
        <v>551</v>
      </c>
      <c r="S165" t="s">
        <v>15</v>
      </c>
    </row>
    <row r="166" spans="1:21" x14ac:dyDescent="0.35">
      <c r="A166">
        <v>450</v>
      </c>
      <c r="B166" t="s">
        <v>496</v>
      </c>
      <c r="C166" t="s">
        <v>31</v>
      </c>
      <c r="D166" t="s">
        <v>32</v>
      </c>
      <c r="E166" s="9">
        <v>45762</v>
      </c>
      <c r="F166" s="9">
        <v>45766</v>
      </c>
      <c r="G166" s="4" t="str">
        <f>TEXT(Work[[#This Row],[Delivered Date]],"mmm")</f>
        <v>Apr</v>
      </c>
      <c r="H166" s="16">
        <f>MONTH(Work[[#This Row],[Delivered Date]])</f>
        <v>4</v>
      </c>
      <c r="I166" s="1" t="str">
        <f>TEXT(Work[[#This Row],[Delivered Date]],"ddd")</f>
        <v>Sat</v>
      </c>
      <c r="J166" s="4">
        <f>_xlfn.XLOOKUP(Work[[#This Row],[Product Name]],Cost[Product Name],Cost[Cost Percentage],"NA")</f>
        <v>0.75</v>
      </c>
      <c r="K166" s="3">
        <v>919</v>
      </c>
      <c r="L166" s="3">
        <f>Work[[#This Row],[Unit Price]]*Work[[#This Row],[Quantity]]</f>
        <v>1838</v>
      </c>
      <c r="M166" s="3">
        <f>Work[[#This Row],[Revenue]]*Work[[#This Row],[cost percentage]]</f>
        <v>1378.5</v>
      </c>
      <c r="N166" s="3">
        <f>Work[[#This Row],[Revenue]]-Work[[#This Row],[Cost]]</f>
        <v>459.5</v>
      </c>
      <c r="O166">
        <v>2</v>
      </c>
      <c r="P166" s="6">
        <f>Work[[#This Row],[Delivered Date]]-Work[[#This Row],[Order Date]]</f>
        <v>4</v>
      </c>
      <c r="Q166" t="s">
        <v>14</v>
      </c>
      <c r="R166" t="s">
        <v>551</v>
      </c>
      <c r="S166" t="s">
        <v>19</v>
      </c>
    </row>
    <row r="167" spans="1:21" x14ac:dyDescent="0.35">
      <c r="A167">
        <v>461</v>
      </c>
      <c r="B167" t="s">
        <v>507</v>
      </c>
      <c r="C167" t="s">
        <v>31</v>
      </c>
      <c r="D167" t="s">
        <v>50</v>
      </c>
      <c r="E167" s="9">
        <v>45759</v>
      </c>
      <c r="F167" s="9">
        <v>45765</v>
      </c>
      <c r="G167" s="4" t="str">
        <f>TEXT(Work[[#This Row],[Delivered Date]],"mmm")</f>
        <v>Apr</v>
      </c>
      <c r="H167" s="16">
        <f>MONTH(Work[[#This Row],[Delivered Date]])</f>
        <v>4</v>
      </c>
      <c r="I167" s="1" t="str">
        <f>TEXT(Work[[#This Row],[Delivered Date]],"ddd")</f>
        <v>Fri</v>
      </c>
      <c r="J167" s="4">
        <f>_xlfn.XLOOKUP(Work[[#This Row],[Product Name]],Cost[Product Name],Cost[Cost Percentage],"NA")</f>
        <v>0.7</v>
      </c>
      <c r="K167" s="3">
        <v>608</v>
      </c>
      <c r="L167" s="3">
        <f>Work[[#This Row],[Unit Price]]*Work[[#This Row],[Quantity]]</f>
        <v>3040</v>
      </c>
      <c r="M167" s="3">
        <f>Work[[#This Row],[Revenue]]*Work[[#This Row],[cost percentage]]</f>
        <v>2128</v>
      </c>
      <c r="N167" s="3">
        <f>Work[[#This Row],[Revenue]]-Work[[#This Row],[Cost]]</f>
        <v>912</v>
      </c>
      <c r="O167">
        <v>5</v>
      </c>
      <c r="P167" s="6">
        <f>Work[[#This Row],[Delivered Date]]-Work[[#This Row],[Order Date]]</f>
        <v>6</v>
      </c>
      <c r="Q167" t="s">
        <v>28</v>
      </c>
      <c r="R167" t="s">
        <v>551</v>
      </c>
      <c r="S167" t="s">
        <v>46</v>
      </c>
    </row>
    <row r="168" spans="1:21" x14ac:dyDescent="0.35">
      <c r="A168">
        <v>462</v>
      </c>
      <c r="B168" t="s">
        <v>508</v>
      </c>
      <c r="C168" t="s">
        <v>31</v>
      </c>
      <c r="D168" t="s">
        <v>42</v>
      </c>
      <c r="E168" s="9">
        <v>45768</v>
      </c>
      <c r="F168" s="9">
        <v>45772</v>
      </c>
      <c r="G168" s="4" t="str">
        <f>TEXT(Work[[#This Row],[Delivered Date]],"mmm")</f>
        <v>Apr</v>
      </c>
      <c r="H168" s="16">
        <f>MONTH(Work[[#This Row],[Delivered Date]])</f>
        <v>4</v>
      </c>
      <c r="I168" s="1" t="str">
        <f>TEXT(Work[[#This Row],[Delivered Date]],"ddd")</f>
        <v>Fri</v>
      </c>
      <c r="J168" s="4">
        <f>_xlfn.XLOOKUP(Work[[#This Row],[Product Name]],Cost[Product Name],Cost[Cost Percentage],"NA")</f>
        <v>0.65</v>
      </c>
      <c r="K168" s="3">
        <v>664</v>
      </c>
      <c r="L168" s="3">
        <f>Work[[#This Row],[Unit Price]]*Work[[#This Row],[Quantity]]</f>
        <v>3320</v>
      </c>
      <c r="M168" s="3">
        <f>Work[[#This Row],[Revenue]]*Work[[#This Row],[cost percentage]]</f>
        <v>2158</v>
      </c>
      <c r="N168" s="3">
        <f>Work[[#This Row],[Revenue]]-Work[[#This Row],[Cost]]</f>
        <v>1162</v>
      </c>
      <c r="O168">
        <v>5</v>
      </c>
      <c r="P168" s="6">
        <f>Work[[#This Row],[Delivered Date]]-Work[[#This Row],[Order Date]]</f>
        <v>4</v>
      </c>
      <c r="Q168" t="s">
        <v>28</v>
      </c>
      <c r="R168" t="s">
        <v>33</v>
      </c>
      <c r="S168" t="s">
        <v>19</v>
      </c>
    </row>
    <row r="169" spans="1:21" x14ac:dyDescent="0.35">
      <c r="A169">
        <v>491</v>
      </c>
      <c r="B169" t="s">
        <v>49</v>
      </c>
      <c r="C169" t="s">
        <v>12</v>
      </c>
      <c r="D169" t="s">
        <v>13</v>
      </c>
      <c r="E169" s="9">
        <v>45759</v>
      </c>
      <c r="F169" s="9">
        <v>45765</v>
      </c>
      <c r="G169" s="4" t="str">
        <f>TEXT(Work[[#This Row],[Delivered Date]],"mmm")</f>
        <v>Apr</v>
      </c>
      <c r="H169" s="16">
        <f>MONTH(Work[[#This Row],[Delivered Date]])</f>
        <v>4</v>
      </c>
      <c r="I169" s="1" t="str">
        <f>TEXT(Work[[#This Row],[Delivered Date]],"ddd")</f>
        <v>Fri</v>
      </c>
      <c r="J169" s="4">
        <f>_xlfn.XLOOKUP(Work[[#This Row],[Product Name]],Cost[Product Name],Cost[Cost Percentage],"NA")</f>
        <v>0.75</v>
      </c>
      <c r="K169" s="3">
        <v>874</v>
      </c>
      <c r="L169" s="3">
        <f>Work[[#This Row],[Unit Price]]*Work[[#This Row],[Quantity]]</f>
        <v>4370</v>
      </c>
      <c r="M169" s="3">
        <f>Work[[#This Row],[Revenue]]*Work[[#This Row],[cost percentage]]</f>
        <v>3277.5</v>
      </c>
      <c r="N169" s="3">
        <f>Work[[#This Row],[Revenue]]-Work[[#This Row],[Cost]]</f>
        <v>1092.5</v>
      </c>
      <c r="O169">
        <v>5</v>
      </c>
      <c r="P169" s="6">
        <f>Work[[#This Row],[Delivered Date]]-Work[[#This Row],[Order Date]]</f>
        <v>6</v>
      </c>
      <c r="Q169" t="s">
        <v>14</v>
      </c>
      <c r="R169" t="s">
        <v>33</v>
      </c>
      <c r="S169" t="s">
        <v>46</v>
      </c>
    </row>
    <row r="170" spans="1:21" x14ac:dyDescent="0.35">
      <c r="A170">
        <v>499</v>
      </c>
      <c r="B170" t="s">
        <v>62</v>
      </c>
      <c r="C170" t="s">
        <v>31</v>
      </c>
      <c r="D170" t="s">
        <v>32</v>
      </c>
      <c r="E170" s="9">
        <v>45741</v>
      </c>
      <c r="F170" s="9">
        <v>45752</v>
      </c>
      <c r="G170" s="4" t="str">
        <f>TEXT(Work[[#This Row],[Delivered Date]],"mmm")</f>
        <v>Apr</v>
      </c>
      <c r="H170" s="16">
        <f>MONTH(Work[[#This Row],[Delivered Date]])</f>
        <v>4</v>
      </c>
      <c r="I170" s="1" t="str">
        <f>TEXT(Work[[#This Row],[Delivered Date]],"ddd")</f>
        <v>Sat</v>
      </c>
      <c r="J170" s="4">
        <f>_xlfn.XLOOKUP(Work[[#This Row],[Product Name]],Cost[Product Name],Cost[Cost Percentage],"NA")</f>
        <v>0.75</v>
      </c>
      <c r="K170" s="3">
        <v>774</v>
      </c>
      <c r="L170" s="3">
        <f>Work[[#This Row],[Unit Price]]*Work[[#This Row],[Quantity]]</f>
        <v>2322</v>
      </c>
      <c r="M170" s="3">
        <f>Work[[#This Row],[Revenue]]*Work[[#This Row],[cost percentage]]</f>
        <v>1741.5</v>
      </c>
      <c r="N170" s="3">
        <f>Work[[#This Row],[Revenue]]-Work[[#This Row],[Cost]]</f>
        <v>580.5</v>
      </c>
      <c r="O170">
        <v>3</v>
      </c>
      <c r="P170" s="6">
        <f>Work[[#This Row],[Delivered Date]]-Work[[#This Row],[Order Date]]</f>
        <v>11</v>
      </c>
      <c r="Q170" t="s">
        <v>28</v>
      </c>
      <c r="R170" t="s">
        <v>547</v>
      </c>
      <c r="S170" t="s">
        <v>19</v>
      </c>
    </row>
    <row r="171" spans="1:21" x14ac:dyDescent="0.35">
      <c r="A171">
        <v>500</v>
      </c>
      <c r="B171" t="s">
        <v>63</v>
      </c>
      <c r="C171" t="s">
        <v>21</v>
      </c>
      <c r="D171" t="s">
        <v>83</v>
      </c>
      <c r="E171" s="9">
        <v>45753</v>
      </c>
      <c r="F171" s="9">
        <v>45759</v>
      </c>
      <c r="G171" s="4" t="str">
        <f>TEXT(Work[[#This Row],[Delivered Date]],"mmm")</f>
        <v>Apr</v>
      </c>
      <c r="H171" s="16">
        <f>MONTH(Work[[#This Row],[Delivered Date]])</f>
        <v>4</v>
      </c>
      <c r="I171" s="1" t="str">
        <f>TEXT(Work[[#This Row],[Delivered Date]],"ddd")</f>
        <v>Sat</v>
      </c>
      <c r="J171" s="4">
        <f>_xlfn.XLOOKUP(Work[[#This Row],[Product Name]],Cost[Product Name],Cost[Cost Percentage],"NA")</f>
        <v>0.8</v>
      </c>
      <c r="K171" s="3">
        <v>63</v>
      </c>
      <c r="L171" s="3">
        <f>Work[[#This Row],[Unit Price]]*Work[[#This Row],[Quantity]]</f>
        <v>315</v>
      </c>
      <c r="M171" s="3">
        <f>Work[[#This Row],[Revenue]]*Work[[#This Row],[cost percentage]]</f>
        <v>252</v>
      </c>
      <c r="N171" s="3">
        <f>Work[[#This Row],[Revenue]]-Work[[#This Row],[Cost]]</f>
        <v>63</v>
      </c>
      <c r="O171">
        <v>5</v>
      </c>
      <c r="P171" s="6">
        <f>Work[[#This Row],[Delivered Date]]-Work[[#This Row],[Order Date]]</f>
        <v>6</v>
      </c>
      <c r="Q171" t="s">
        <v>14</v>
      </c>
      <c r="R171" t="s">
        <v>549</v>
      </c>
      <c r="S171" t="s">
        <v>46</v>
      </c>
    </row>
    <row r="172" spans="1:21" x14ac:dyDescent="0.35">
      <c r="A172">
        <v>501</v>
      </c>
      <c r="B172" t="s">
        <v>65</v>
      </c>
      <c r="C172" t="s">
        <v>31</v>
      </c>
      <c r="D172" t="s">
        <v>32</v>
      </c>
      <c r="E172" s="9">
        <v>45764</v>
      </c>
      <c r="F172" s="9">
        <v>45770</v>
      </c>
      <c r="G172" s="4" t="str">
        <f>TEXT(Work[[#This Row],[Delivered Date]],"mmm")</f>
        <v>Apr</v>
      </c>
      <c r="H172" s="16">
        <f>MONTH(Work[[#This Row],[Delivered Date]])</f>
        <v>4</v>
      </c>
      <c r="I172" s="1" t="str">
        <f>TEXT(Work[[#This Row],[Delivered Date]],"ddd")</f>
        <v>Wed</v>
      </c>
      <c r="J172" s="4">
        <f>_xlfn.XLOOKUP(Work[[#This Row],[Product Name]],Cost[Product Name],Cost[Cost Percentage],"NA")</f>
        <v>0.75</v>
      </c>
      <c r="K172" s="3">
        <v>30</v>
      </c>
      <c r="L172" s="3">
        <f>Work[[#This Row],[Unit Price]]*Work[[#This Row],[Quantity]]</f>
        <v>30</v>
      </c>
      <c r="M172" s="3">
        <f>Work[[#This Row],[Revenue]]*Work[[#This Row],[cost percentage]]</f>
        <v>22.5</v>
      </c>
      <c r="N172" s="3">
        <f>Work[[#This Row],[Revenue]]-Work[[#This Row],[Cost]]</f>
        <v>7.5</v>
      </c>
      <c r="O172">
        <v>1</v>
      </c>
      <c r="P172" s="6">
        <f>Work[[#This Row],[Delivered Date]]-Work[[#This Row],[Order Date]]</f>
        <v>6</v>
      </c>
      <c r="Q172" t="s">
        <v>28</v>
      </c>
      <c r="R172" t="s">
        <v>33</v>
      </c>
      <c r="S172" t="s">
        <v>15</v>
      </c>
    </row>
    <row r="173" spans="1:21" x14ac:dyDescent="0.35">
      <c r="A173">
        <v>520</v>
      </c>
      <c r="B173" t="s">
        <v>88</v>
      </c>
      <c r="C173" t="s">
        <v>21</v>
      </c>
      <c r="D173" t="s">
        <v>22</v>
      </c>
      <c r="E173" s="9">
        <v>45756</v>
      </c>
      <c r="F173" s="9">
        <v>45764</v>
      </c>
      <c r="G173" s="4" t="str">
        <f>TEXT(Work[[#This Row],[Delivered Date]],"mmm")</f>
        <v>Apr</v>
      </c>
      <c r="H173" s="16">
        <f>MONTH(Work[[#This Row],[Delivered Date]])</f>
        <v>4</v>
      </c>
      <c r="I173" s="1" t="str">
        <f>TEXT(Work[[#This Row],[Delivered Date]],"ddd")</f>
        <v>Thu</v>
      </c>
      <c r="J173" s="4">
        <f>_xlfn.XLOOKUP(Work[[#This Row],[Product Name]],Cost[Product Name],Cost[Cost Percentage],"NA")</f>
        <v>0.75</v>
      </c>
      <c r="K173" s="3">
        <v>420</v>
      </c>
      <c r="L173" s="3">
        <f>Work[[#This Row],[Unit Price]]*Work[[#This Row],[Quantity]]</f>
        <v>420</v>
      </c>
      <c r="M173" s="3">
        <f>Work[[#This Row],[Revenue]]*Work[[#This Row],[cost percentage]]</f>
        <v>315</v>
      </c>
      <c r="N173" s="3">
        <f>Work[[#This Row],[Revenue]]-Work[[#This Row],[Cost]]</f>
        <v>105</v>
      </c>
      <c r="O173">
        <v>1</v>
      </c>
      <c r="P173" s="6">
        <f>Work[[#This Row],[Delivered Date]]-Work[[#This Row],[Order Date]]</f>
        <v>8</v>
      </c>
      <c r="Q173" t="s">
        <v>14</v>
      </c>
      <c r="R173" t="s">
        <v>550</v>
      </c>
      <c r="S173" t="s">
        <v>29</v>
      </c>
    </row>
    <row r="174" spans="1:21" x14ac:dyDescent="0.35">
      <c r="A174">
        <v>540</v>
      </c>
      <c r="B174" t="s">
        <v>533</v>
      </c>
      <c r="C174" t="s">
        <v>12</v>
      </c>
      <c r="D174" t="s">
        <v>36</v>
      </c>
      <c r="E174" s="9">
        <v>45763</v>
      </c>
      <c r="F174" s="9">
        <v>45767</v>
      </c>
      <c r="G174" s="4" t="str">
        <f>TEXT(Work[[#This Row],[Delivered Date]],"mmm")</f>
        <v>Apr</v>
      </c>
      <c r="H174" s="16">
        <f>MONTH(Work[[#This Row],[Delivered Date]])</f>
        <v>4</v>
      </c>
      <c r="I174" s="1" t="str">
        <f>TEXT(Work[[#This Row],[Delivered Date]],"ddd")</f>
        <v>Sun</v>
      </c>
      <c r="J174" s="4">
        <f>_xlfn.XLOOKUP(Work[[#This Row],[Product Name]],Cost[Product Name],Cost[Cost Percentage],"NA")</f>
        <v>0.8</v>
      </c>
      <c r="K174" s="3">
        <v>152</v>
      </c>
      <c r="L174" s="3">
        <f>Work[[#This Row],[Unit Price]]*Work[[#This Row],[Quantity]]</f>
        <v>608</v>
      </c>
      <c r="M174" s="3">
        <f>Work[[#This Row],[Revenue]]*Work[[#This Row],[cost percentage]]</f>
        <v>486.40000000000003</v>
      </c>
      <c r="N174" s="3">
        <f>Work[[#This Row],[Revenue]]-Work[[#This Row],[Cost]]</f>
        <v>121.59999999999997</v>
      </c>
      <c r="O174">
        <v>4</v>
      </c>
      <c r="P174" s="6">
        <f>Work[[#This Row],[Delivered Date]]-Work[[#This Row],[Order Date]]</f>
        <v>4</v>
      </c>
      <c r="Q174" t="s">
        <v>28</v>
      </c>
      <c r="R174" t="s">
        <v>550</v>
      </c>
      <c r="S174" t="s">
        <v>46</v>
      </c>
    </row>
    <row r="175" spans="1:21" x14ac:dyDescent="0.35">
      <c r="A175">
        <v>543</v>
      </c>
      <c r="B175" t="s">
        <v>536</v>
      </c>
      <c r="C175" t="s">
        <v>31</v>
      </c>
      <c r="D175" t="s">
        <v>50</v>
      </c>
      <c r="E175" s="9">
        <v>45749</v>
      </c>
      <c r="F175" s="9">
        <v>45759</v>
      </c>
      <c r="G175" s="4" t="str">
        <f>TEXT(Work[[#This Row],[Delivered Date]],"mmm")</f>
        <v>Apr</v>
      </c>
      <c r="H175" s="16">
        <f>MONTH(Work[[#This Row],[Delivered Date]])</f>
        <v>4</v>
      </c>
      <c r="I175" s="1" t="str">
        <f>TEXT(Work[[#This Row],[Delivered Date]],"ddd")</f>
        <v>Sat</v>
      </c>
      <c r="J175" s="4">
        <f>_xlfn.XLOOKUP(Work[[#This Row],[Product Name]],Cost[Product Name],Cost[Cost Percentage],"NA")</f>
        <v>0.7</v>
      </c>
      <c r="K175" s="3">
        <v>356</v>
      </c>
      <c r="L175" s="3">
        <f>Work[[#This Row],[Unit Price]]*Work[[#This Row],[Quantity]]</f>
        <v>2492</v>
      </c>
      <c r="M175" s="3">
        <f>Work[[#This Row],[Revenue]]*Work[[#This Row],[cost percentage]]</f>
        <v>1744.3999999999999</v>
      </c>
      <c r="N175" s="3">
        <f>Work[[#This Row],[Revenue]]-Work[[#This Row],[Cost]]</f>
        <v>747.60000000000014</v>
      </c>
      <c r="O175">
        <v>7</v>
      </c>
      <c r="P175" s="6">
        <f>Work[[#This Row],[Delivered Date]]-Work[[#This Row],[Order Date]]</f>
        <v>10</v>
      </c>
      <c r="Q175" t="s">
        <v>14</v>
      </c>
      <c r="R175" t="s">
        <v>549</v>
      </c>
      <c r="S175" t="s">
        <v>19</v>
      </c>
    </row>
    <row r="176" spans="1:21" x14ac:dyDescent="0.35">
      <c r="A176">
        <v>550</v>
      </c>
      <c r="B176" t="s">
        <v>542</v>
      </c>
      <c r="C176" t="s">
        <v>12</v>
      </c>
      <c r="D176" t="s">
        <v>27</v>
      </c>
      <c r="E176" s="9">
        <v>45757</v>
      </c>
      <c r="F176" s="9">
        <v>45764</v>
      </c>
      <c r="G176" s="4" t="str">
        <f>TEXT(Work[[#This Row],[Delivered Date]],"mmm")</f>
        <v>Apr</v>
      </c>
      <c r="H176" s="16">
        <f>MONTH(Work[[#This Row],[Delivered Date]])</f>
        <v>4</v>
      </c>
      <c r="I176" s="1" t="str">
        <f>TEXT(Work[[#This Row],[Delivered Date]],"ddd")</f>
        <v>Thu</v>
      </c>
      <c r="J176" s="4">
        <f>_xlfn.XLOOKUP(Work[[#This Row],[Product Name]],Cost[Product Name],Cost[Cost Percentage],"NA")</f>
        <v>0.65</v>
      </c>
      <c r="K176" s="3">
        <v>390</v>
      </c>
      <c r="L176" s="3">
        <f>Work[[#This Row],[Unit Price]]*Work[[#This Row],[Quantity]]</f>
        <v>2730</v>
      </c>
      <c r="M176" s="3">
        <f>Work[[#This Row],[Revenue]]*Work[[#This Row],[cost percentage]]</f>
        <v>1774.5</v>
      </c>
      <c r="N176" s="3">
        <f>Work[[#This Row],[Revenue]]-Work[[#This Row],[Cost]]</f>
        <v>955.5</v>
      </c>
      <c r="O176">
        <v>7</v>
      </c>
      <c r="P176" s="6">
        <f>Work[[#This Row],[Delivered Date]]-Work[[#This Row],[Order Date]]</f>
        <v>7</v>
      </c>
      <c r="Q176" t="s">
        <v>28</v>
      </c>
      <c r="R176" t="s">
        <v>547</v>
      </c>
      <c r="S176" t="s">
        <v>46</v>
      </c>
    </row>
    <row r="177" spans="1:19" x14ac:dyDescent="0.35">
      <c r="A177">
        <v>555</v>
      </c>
      <c r="B177" t="s">
        <v>126</v>
      </c>
      <c r="C177" t="s">
        <v>24</v>
      </c>
      <c r="D177" t="s">
        <v>25</v>
      </c>
      <c r="E177" s="9">
        <v>45743</v>
      </c>
      <c r="F177" s="9">
        <v>45748</v>
      </c>
      <c r="G177" s="4" t="str">
        <f>TEXT(Work[[#This Row],[Delivered Date]],"mmm")</f>
        <v>Apr</v>
      </c>
      <c r="H177" s="16">
        <f>MONTH(Work[[#This Row],[Delivered Date]])</f>
        <v>4</v>
      </c>
      <c r="I177" s="1" t="str">
        <f>TEXT(Work[[#This Row],[Delivered Date]],"ddd")</f>
        <v>Tue</v>
      </c>
      <c r="J177" s="4">
        <f>_xlfn.XLOOKUP(Work[[#This Row],[Product Name]],Cost[Product Name],Cost[Cost Percentage],"NA")</f>
        <v>0.55000000000000004</v>
      </c>
      <c r="K177" s="3">
        <v>968</v>
      </c>
      <c r="L177" s="3">
        <f>Work[[#This Row],[Unit Price]]*Work[[#This Row],[Quantity]]</f>
        <v>968</v>
      </c>
      <c r="M177" s="3">
        <f>Work[[#This Row],[Revenue]]*Work[[#This Row],[cost percentage]]</f>
        <v>532.40000000000009</v>
      </c>
      <c r="N177" s="3">
        <f>Work[[#This Row],[Revenue]]-Work[[#This Row],[Cost]]</f>
        <v>435.59999999999991</v>
      </c>
      <c r="O177">
        <v>1</v>
      </c>
      <c r="P177" s="6">
        <f>Work[[#This Row],[Delivered Date]]-Work[[#This Row],[Order Date]]</f>
        <v>5</v>
      </c>
      <c r="Q177" t="s">
        <v>14</v>
      </c>
      <c r="R177" t="s">
        <v>33</v>
      </c>
      <c r="S177" t="s">
        <v>29</v>
      </c>
    </row>
    <row r="178" spans="1:19" x14ac:dyDescent="0.35">
      <c r="A178">
        <v>1</v>
      </c>
      <c r="B178" t="s">
        <v>11</v>
      </c>
      <c r="C178" t="s">
        <v>12</v>
      </c>
      <c r="D178" t="s">
        <v>13</v>
      </c>
      <c r="E178" s="9">
        <v>45432</v>
      </c>
      <c r="F178" s="9">
        <v>45436</v>
      </c>
      <c r="G178" s="4" t="str">
        <f>TEXT(Work[[#This Row],[Delivered Date]],"mmm")</f>
        <v>May</v>
      </c>
      <c r="H178" s="16">
        <f>MONTH(Work[[#This Row],[Delivered Date]])</f>
        <v>5</v>
      </c>
      <c r="I178" s="1" t="str">
        <f>TEXT(Work[[#This Row],[Delivered Date]],"ddd")</f>
        <v>Fri</v>
      </c>
      <c r="J178" s="4">
        <f>_xlfn.XLOOKUP(Work[[#This Row],[Product Name]],Cost[Product Name],Cost[Cost Percentage],"NA")</f>
        <v>0.75</v>
      </c>
      <c r="K178" s="3">
        <v>238</v>
      </c>
      <c r="L178" s="3">
        <f>Work[[#This Row],[Unit Price]]*Work[[#This Row],[Quantity]]</f>
        <v>952</v>
      </c>
      <c r="M178" s="3">
        <f>Work[[#This Row],[Revenue]]*Work[[#This Row],[cost percentage]]</f>
        <v>714</v>
      </c>
      <c r="N178" s="3">
        <f>Work[[#This Row],[Revenue]]-Work[[#This Row],[Cost]]</f>
        <v>238</v>
      </c>
      <c r="O178">
        <v>4</v>
      </c>
      <c r="P178" s="6">
        <f>Work[[#This Row],[Delivered Date]]-Work[[#This Row],[Order Date]]</f>
        <v>4</v>
      </c>
      <c r="Q178" t="s">
        <v>14</v>
      </c>
      <c r="R178" t="s">
        <v>551</v>
      </c>
      <c r="S178" t="s">
        <v>15</v>
      </c>
    </row>
    <row r="179" spans="1:19" x14ac:dyDescent="0.35">
      <c r="A179">
        <v>4</v>
      </c>
      <c r="B179" t="s">
        <v>23</v>
      </c>
      <c r="C179" t="s">
        <v>24</v>
      </c>
      <c r="D179" t="s">
        <v>25</v>
      </c>
      <c r="E179" s="9">
        <v>45434</v>
      </c>
      <c r="F179" s="9">
        <v>45439</v>
      </c>
      <c r="G179" s="4" t="str">
        <f>TEXT(Work[[#This Row],[Delivered Date]],"mmm")</f>
        <v>May</v>
      </c>
      <c r="H179" s="16">
        <f>MONTH(Work[[#This Row],[Delivered Date]])</f>
        <v>5</v>
      </c>
      <c r="I179" s="1" t="str">
        <f>TEXT(Work[[#This Row],[Delivered Date]],"ddd")</f>
        <v>Mon</v>
      </c>
      <c r="J179" s="4">
        <f>_xlfn.XLOOKUP(Work[[#This Row],[Product Name]],Cost[Product Name],Cost[Cost Percentage],"NA")</f>
        <v>0.55000000000000004</v>
      </c>
      <c r="K179" s="3">
        <v>230</v>
      </c>
      <c r="L179" s="3">
        <f>Work[[#This Row],[Unit Price]]*Work[[#This Row],[Quantity]]</f>
        <v>690</v>
      </c>
      <c r="M179" s="3">
        <f>Work[[#This Row],[Revenue]]*Work[[#This Row],[cost percentage]]</f>
        <v>379.50000000000006</v>
      </c>
      <c r="N179" s="3">
        <f>Work[[#This Row],[Revenue]]-Work[[#This Row],[Cost]]</f>
        <v>310.49999999999994</v>
      </c>
      <c r="O179">
        <v>3</v>
      </c>
      <c r="P179" s="6">
        <f>Work[[#This Row],[Delivered Date]]-Work[[#This Row],[Order Date]]</f>
        <v>5</v>
      </c>
      <c r="Q179" t="s">
        <v>14</v>
      </c>
      <c r="R179" t="s">
        <v>549</v>
      </c>
      <c r="S179" t="s">
        <v>19</v>
      </c>
    </row>
    <row r="180" spans="1:19" x14ac:dyDescent="0.35">
      <c r="A180">
        <v>9</v>
      </c>
      <c r="B180" t="s">
        <v>37</v>
      </c>
      <c r="C180" t="s">
        <v>24</v>
      </c>
      <c r="D180" t="s">
        <v>38</v>
      </c>
      <c r="E180" s="9">
        <v>45430</v>
      </c>
      <c r="F180" s="9">
        <v>45434</v>
      </c>
      <c r="G180" s="4" t="str">
        <f>TEXT(Work[[#This Row],[Delivered Date]],"mmm")</f>
        <v>May</v>
      </c>
      <c r="H180" s="16">
        <f>MONTH(Work[[#This Row],[Delivered Date]])</f>
        <v>5</v>
      </c>
      <c r="I180" s="1" t="str">
        <f>TEXT(Work[[#This Row],[Delivered Date]],"ddd")</f>
        <v>Wed</v>
      </c>
      <c r="J180" s="4">
        <f>_xlfn.XLOOKUP(Work[[#This Row],[Product Name]],Cost[Product Name],Cost[Cost Percentage],"NA")</f>
        <v>0.5</v>
      </c>
      <c r="K180" s="3">
        <v>234</v>
      </c>
      <c r="L180" s="3">
        <f>Work[[#This Row],[Unit Price]]*Work[[#This Row],[Quantity]]</f>
        <v>2106</v>
      </c>
      <c r="M180" s="3">
        <f>Work[[#This Row],[Revenue]]*Work[[#This Row],[cost percentage]]</f>
        <v>1053</v>
      </c>
      <c r="N180" s="3">
        <f>Work[[#This Row],[Revenue]]-Work[[#This Row],[Cost]]</f>
        <v>1053</v>
      </c>
      <c r="O180">
        <v>9</v>
      </c>
      <c r="P180" s="6">
        <f>Work[[#This Row],[Delivered Date]]-Work[[#This Row],[Order Date]]</f>
        <v>4</v>
      </c>
      <c r="Q180" t="s">
        <v>14</v>
      </c>
      <c r="R180" t="s">
        <v>33</v>
      </c>
      <c r="S180" t="s">
        <v>19</v>
      </c>
    </row>
    <row r="181" spans="1:19" x14ac:dyDescent="0.35">
      <c r="A181">
        <v>33</v>
      </c>
      <c r="B181" t="s">
        <v>73</v>
      </c>
      <c r="C181" t="s">
        <v>12</v>
      </c>
      <c r="D181" t="s">
        <v>36</v>
      </c>
      <c r="E181" s="9">
        <v>45418</v>
      </c>
      <c r="F181" s="9">
        <v>45431</v>
      </c>
      <c r="G181" s="4" t="str">
        <f>TEXT(Work[[#This Row],[Delivered Date]],"mmm")</f>
        <v>May</v>
      </c>
      <c r="H181" s="16">
        <f>MONTH(Work[[#This Row],[Delivered Date]])</f>
        <v>5</v>
      </c>
      <c r="I181" s="1" t="str">
        <f>TEXT(Work[[#This Row],[Delivered Date]],"ddd")</f>
        <v>Sun</v>
      </c>
      <c r="J181" s="4">
        <f>_xlfn.XLOOKUP(Work[[#This Row],[Product Name]],Cost[Product Name],Cost[Cost Percentage],"NA")</f>
        <v>0.8</v>
      </c>
      <c r="K181" s="3">
        <v>618</v>
      </c>
      <c r="L181" s="3">
        <f>Work[[#This Row],[Unit Price]]*Work[[#This Row],[Quantity]]</f>
        <v>6180</v>
      </c>
      <c r="M181" s="3">
        <f>Work[[#This Row],[Revenue]]*Work[[#This Row],[cost percentage]]</f>
        <v>4944</v>
      </c>
      <c r="N181" s="3">
        <f>Work[[#This Row],[Revenue]]-Work[[#This Row],[Cost]]</f>
        <v>1236</v>
      </c>
      <c r="O181">
        <v>10</v>
      </c>
      <c r="P181" s="6">
        <f>Work[[#This Row],[Delivered Date]]-Work[[#This Row],[Order Date]]</f>
        <v>13</v>
      </c>
      <c r="Q181" t="s">
        <v>14</v>
      </c>
      <c r="R181" t="s">
        <v>551</v>
      </c>
      <c r="S181" t="s">
        <v>46</v>
      </c>
    </row>
    <row r="182" spans="1:19" x14ac:dyDescent="0.35">
      <c r="A182">
        <v>41</v>
      </c>
      <c r="B182" t="s">
        <v>84</v>
      </c>
      <c r="C182" t="s">
        <v>12</v>
      </c>
      <c r="D182" t="s">
        <v>27</v>
      </c>
      <c r="E182" s="9">
        <v>45433</v>
      </c>
      <c r="F182" s="9">
        <v>45437</v>
      </c>
      <c r="G182" s="4" t="str">
        <f>TEXT(Work[[#This Row],[Delivered Date]],"mmm")</f>
        <v>May</v>
      </c>
      <c r="H182" s="16">
        <f>MONTH(Work[[#This Row],[Delivered Date]])</f>
        <v>5</v>
      </c>
      <c r="I182" s="1" t="str">
        <f>TEXT(Work[[#This Row],[Delivered Date]],"ddd")</f>
        <v>Sat</v>
      </c>
      <c r="J182" s="4">
        <f>_xlfn.XLOOKUP(Work[[#This Row],[Product Name]],Cost[Product Name],Cost[Cost Percentage],"NA")</f>
        <v>0.65</v>
      </c>
      <c r="K182" s="3">
        <v>13</v>
      </c>
      <c r="L182" s="3">
        <f>Work[[#This Row],[Unit Price]]*Work[[#This Row],[Quantity]]</f>
        <v>13</v>
      </c>
      <c r="M182" s="3">
        <f>Work[[#This Row],[Revenue]]*Work[[#This Row],[cost percentage]]</f>
        <v>8.4500000000000011</v>
      </c>
      <c r="N182" s="3">
        <f>Work[[#This Row],[Revenue]]-Work[[#This Row],[Cost]]</f>
        <v>4.5499999999999989</v>
      </c>
      <c r="O182">
        <v>1</v>
      </c>
      <c r="P182" s="6">
        <f>Work[[#This Row],[Delivered Date]]-Work[[#This Row],[Order Date]]</f>
        <v>4</v>
      </c>
      <c r="Q182" t="s">
        <v>28</v>
      </c>
      <c r="R182" t="s">
        <v>547</v>
      </c>
      <c r="S182" t="s">
        <v>29</v>
      </c>
    </row>
    <row r="183" spans="1:19" x14ac:dyDescent="0.35">
      <c r="A183">
        <v>58</v>
      </c>
      <c r="B183" t="s">
        <v>103</v>
      </c>
      <c r="C183" t="s">
        <v>24</v>
      </c>
      <c r="D183" t="s">
        <v>100</v>
      </c>
      <c r="E183" s="9">
        <v>45432</v>
      </c>
      <c r="F183" s="9">
        <v>45443</v>
      </c>
      <c r="G183" s="4" t="str">
        <f>TEXT(Work[[#This Row],[Delivered Date]],"mmm")</f>
        <v>May</v>
      </c>
      <c r="H183" s="16">
        <f>MONTH(Work[[#This Row],[Delivered Date]])</f>
        <v>5</v>
      </c>
      <c r="I183" s="1" t="str">
        <f>TEXT(Work[[#This Row],[Delivered Date]],"ddd")</f>
        <v>Fri</v>
      </c>
      <c r="J183" s="4">
        <f>_xlfn.XLOOKUP(Work[[#This Row],[Product Name]],Cost[Product Name],Cost[Cost Percentage],"NA")</f>
        <v>0.6</v>
      </c>
      <c r="K183" s="3">
        <v>89</v>
      </c>
      <c r="L183" s="3">
        <f>Work[[#This Row],[Unit Price]]*Work[[#This Row],[Quantity]]</f>
        <v>712</v>
      </c>
      <c r="M183" s="3">
        <f>Work[[#This Row],[Revenue]]*Work[[#This Row],[cost percentage]]</f>
        <v>427.2</v>
      </c>
      <c r="N183" s="3">
        <f>Work[[#This Row],[Revenue]]-Work[[#This Row],[Cost]]</f>
        <v>284.8</v>
      </c>
      <c r="O183">
        <v>8</v>
      </c>
      <c r="P183" s="6">
        <f>Work[[#This Row],[Delivered Date]]-Work[[#This Row],[Order Date]]</f>
        <v>11</v>
      </c>
      <c r="Q183" t="s">
        <v>14</v>
      </c>
      <c r="R183" t="s">
        <v>33</v>
      </c>
      <c r="S183" t="s">
        <v>19</v>
      </c>
    </row>
    <row r="184" spans="1:19" x14ac:dyDescent="0.35">
      <c r="A184">
        <v>76</v>
      </c>
      <c r="B184" t="s">
        <v>122</v>
      </c>
      <c r="C184" t="s">
        <v>17</v>
      </c>
      <c r="D184" t="s">
        <v>64</v>
      </c>
      <c r="E184" s="9">
        <v>45432</v>
      </c>
      <c r="F184" s="9">
        <v>45438</v>
      </c>
      <c r="G184" s="4" t="str">
        <f>TEXT(Work[[#This Row],[Delivered Date]],"mmm")</f>
        <v>May</v>
      </c>
      <c r="H184" s="16">
        <f>MONTH(Work[[#This Row],[Delivered Date]])</f>
        <v>5</v>
      </c>
      <c r="I184" s="1" t="str">
        <f>TEXT(Work[[#This Row],[Delivered Date]],"ddd")</f>
        <v>Sun</v>
      </c>
      <c r="J184" s="4">
        <f>_xlfn.XLOOKUP(Work[[#This Row],[Product Name]],Cost[Product Name],Cost[Cost Percentage],"NA")</f>
        <v>0.5</v>
      </c>
      <c r="K184" s="3">
        <v>65</v>
      </c>
      <c r="L184" s="3">
        <f>Work[[#This Row],[Unit Price]]*Work[[#This Row],[Quantity]]</f>
        <v>65</v>
      </c>
      <c r="M184" s="3">
        <f>Work[[#This Row],[Revenue]]*Work[[#This Row],[cost percentage]]</f>
        <v>32.5</v>
      </c>
      <c r="N184" s="3">
        <f>Work[[#This Row],[Revenue]]-Work[[#This Row],[Cost]]</f>
        <v>32.5</v>
      </c>
      <c r="O184">
        <v>1</v>
      </c>
      <c r="P184" s="6">
        <f>Work[[#This Row],[Delivered Date]]-Work[[#This Row],[Order Date]]</f>
        <v>6</v>
      </c>
      <c r="Q184" t="s">
        <v>28</v>
      </c>
      <c r="R184" t="s">
        <v>33</v>
      </c>
      <c r="S184" t="s">
        <v>29</v>
      </c>
    </row>
    <row r="185" spans="1:19" x14ac:dyDescent="0.35">
      <c r="A185">
        <v>93</v>
      </c>
      <c r="B185" t="s">
        <v>139</v>
      </c>
      <c r="C185" t="s">
        <v>12</v>
      </c>
      <c r="D185" t="s">
        <v>36</v>
      </c>
      <c r="E185" s="9">
        <v>45414</v>
      </c>
      <c r="F185" s="9">
        <v>45425</v>
      </c>
      <c r="G185" s="4" t="str">
        <f>TEXT(Work[[#This Row],[Delivered Date]],"mmm")</f>
        <v>May</v>
      </c>
      <c r="H185" s="16">
        <f>MONTH(Work[[#This Row],[Delivered Date]])</f>
        <v>5</v>
      </c>
      <c r="I185" s="1" t="str">
        <f>TEXT(Work[[#This Row],[Delivered Date]],"ddd")</f>
        <v>Mon</v>
      </c>
      <c r="J185" s="4">
        <f>_xlfn.XLOOKUP(Work[[#This Row],[Product Name]],Cost[Product Name],Cost[Cost Percentage],"NA")</f>
        <v>0.8</v>
      </c>
      <c r="K185" s="3">
        <v>328</v>
      </c>
      <c r="L185" s="3">
        <f>Work[[#This Row],[Unit Price]]*Work[[#This Row],[Quantity]]</f>
        <v>984</v>
      </c>
      <c r="M185" s="3">
        <f>Work[[#This Row],[Revenue]]*Work[[#This Row],[cost percentage]]</f>
        <v>787.2</v>
      </c>
      <c r="N185" s="3">
        <f>Work[[#This Row],[Revenue]]-Work[[#This Row],[Cost]]</f>
        <v>196.79999999999995</v>
      </c>
      <c r="O185">
        <v>3</v>
      </c>
      <c r="P185" s="6">
        <f>Work[[#This Row],[Delivered Date]]-Work[[#This Row],[Order Date]]</f>
        <v>11</v>
      </c>
      <c r="Q185" t="s">
        <v>28</v>
      </c>
      <c r="R185" t="s">
        <v>33</v>
      </c>
      <c r="S185" t="s">
        <v>15</v>
      </c>
    </row>
    <row r="186" spans="1:19" x14ac:dyDescent="0.35">
      <c r="A186">
        <v>138</v>
      </c>
      <c r="B186" t="s">
        <v>184</v>
      </c>
      <c r="C186" t="s">
        <v>12</v>
      </c>
      <c r="D186" t="s">
        <v>58</v>
      </c>
      <c r="E186" s="9">
        <v>45423</v>
      </c>
      <c r="F186" s="9">
        <v>45435</v>
      </c>
      <c r="G186" s="4" t="str">
        <f>TEXT(Work[[#This Row],[Delivered Date]],"mmm")</f>
        <v>May</v>
      </c>
      <c r="H186" s="16">
        <f>MONTH(Work[[#This Row],[Delivered Date]])</f>
        <v>5</v>
      </c>
      <c r="I186" s="1" t="str">
        <f>TEXT(Work[[#This Row],[Delivered Date]],"ddd")</f>
        <v>Thu</v>
      </c>
      <c r="J186" s="4">
        <f>_xlfn.XLOOKUP(Work[[#This Row],[Product Name]],Cost[Product Name],Cost[Cost Percentage],"NA")</f>
        <v>0.85</v>
      </c>
      <c r="K186" s="3">
        <v>187</v>
      </c>
      <c r="L186" s="3">
        <f>Work[[#This Row],[Unit Price]]*Work[[#This Row],[Quantity]]</f>
        <v>748</v>
      </c>
      <c r="M186" s="3">
        <f>Work[[#This Row],[Revenue]]*Work[[#This Row],[cost percentage]]</f>
        <v>635.79999999999995</v>
      </c>
      <c r="N186" s="3">
        <f>Work[[#This Row],[Revenue]]-Work[[#This Row],[Cost]]</f>
        <v>112.20000000000005</v>
      </c>
      <c r="O186">
        <v>4</v>
      </c>
      <c r="P186" s="6">
        <f>Work[[#This Row],[Delivered Date]]-Work[[#This Row],[Order Date]]</f>
        <v>12</v>
      </c>
      <c r="Q186" t="s">
        <v>28</v>
      </c>
      <c r="R186" t="s">
        <v>33</v>
      </c>
      <c r="S186" t="s">
        <v>15</v>
      </c>
    </row>
    <row r="187" spans="1:19" x14ac:dyDescent="0.35">
      <c r="A187">
        <v>154</v>
      </c>
      <c r="B187" t="s">
        <v>200</v>
      </c>
      <c r="C187" t="s">
        <v>12</v>
      </c>
      <c r="D187" t="s">
        <v>96</v>
      </c>
      <c r="E187" s="9">
        <v>45406</v>
      </c>
      <c r="F187" s="9">
        <v>45418</v>
      </c>
      <c r="G187" s="4" t="str">
        <f>TEXT(Work[[#This Row],[Delivered Date]],"mmm")</f>
        <v>May</v>
      </c>
      <c r="H187" s="16">
        <f>MONTH(Work[[#This Row],[Delivered Date]])</f>
        <v>5</v>
      </c>
      <c r="I187" s="1" t="str">
        <f>TEXT(Work[[#This Row],[Delivered Date]],"ddd")</f>
        <v>Mon</v>
      </c>
      <c r="J187" s="4">
        <f>_xlfn.XLOOKUP(Work[[#This Row],[Product Name]],Cost[Product Name],Cost[Cost Percentage],"NA")</f>
        <v>0.7</v>
      </c>
      <c r="K187" s="3">
        <v>336</v>
      </c>
      <c r="L187" s="3">
        <f>Work[[#This Row],[Unit Price]]*Work[[#This Row],[Quantity]]</f>
        <v>336</v>
      </c>
      <c r="M187" s="3">
        <f>Work[[#This Row],[Revenue]]*Work[[#This Row],[cost percentage]]</f>
        <v>235.2</v>
      </c>
      <c r="N187" s="3">
        <f>Work[[#This Row],[Revenue]]-Work[[#This Row],[Cost]]</f>
        <v>100.80000000000001</v>
      </c>
      <c r="O187">
        <v>1</v>
      </c>
      <c r="P187" s="6">
        <f>Work[[#This Row],[Delivered Date]]-Work[[#This Row],[Order Date]]</f>
        <v>12</v>
      </c>
      <c r="Q187" t="s">
        <v>14</v>
      </c>
      <c r="R187" t="s">
        <v>551</v>
      </c>
      <c r="S187" t="s">
        <v>19</v>
      </c>
    </row>
    <row r="188" spans="1:19" x14ac:dyDescent="0.35">
      <c r="A188">
        <v>203</v>
      </c>
      <c r="B188" t="s">
        <v>249</v>
      </c>
      <c r="C188" t="s">
        <v>17</v>
      </c>
      <c r="D188" t="s">
        <v>18</v>
      </c>
      <c r="E188" s="9">
        <v>45425</v>
      </c>
      <c r="F188" s="9">
        <v>45432</v>
      </c>
      <c r="G188" s="4" t="str">
        <f>TEXT(Work[[#This Row],[Delivered Date]],"mmm")</f>
        <v>May</v>
      </c>
      <c r="H188" s="16">
        <f>MONTH(Work[[#This Row],[Delivered Date]])</f>
        <v>5</v>
      </c>
      <c r="I188" s="1" t="str">
        <f>TEXT(Work[[#This Row],[Delivered Date]],"ddd")</f>
        <v>Mon</v>
      </c>
      <c r="J188" s="4">
        <f>_xlfn.XLOOKUP(Work[[#This Row],[Product Name]],Cost[Product Name],Cost[Cost Percentage],"NA")</f>
        <v>0.5</v>
      </c>
      <c r="K188" s="3">
        <v>719</v>
      </c>
      <c r="L188" s="3">
        <f>Work[[#This Row],[Unit Price]]*Work[[#This Row],[Quantity]]</f>
        <v>4314</v>
      </c>
      <c r="M188" s="3">
        <f>Work[[#This Row],[Revenue]]*Work[[#This Row],[cost percentage]]</f>
        <v>2157</v>
      </c>
      <c r="N188" s="3">
        <f>Work[[#This Row],[Revenue]]-Work[[#This Row],[Cost]]</f>
        <v>2157</v>
      </c>
      <c r="O188">
        <v>6</v>
      </c>
      <c r="P188" s="6">
        <f>Work[[#This Row],[Delivered Date]]-Work[[#This Row],[Order Date]]</f>
        <v>7</v>
      </c>
      <c r="Q188" t="s">
        <v>28</v>
      </c>
      <c r="R188" t="s">
        <v>551</v>
      </c>
      <c r="S188" t="s">
        <v>46</v>
      </c>
    </row>
    <row r="189" spans="1:19" x14ac:dyDescent="0.35">
      <c r="A189">
        <v>210</v>
      </c>
      <c r="B189" t="s">
        <v>256</v>
      </c>
      <c r="C189" t="s">
        <v>12</v>
      </c>
      <c r="D189" t="s">
        <v>27</v>
      </c>
      <c r="E189" s="9">
        <v>45422</v>
      </c>
      <c r="F189" s="9">
        <v>45425</v>
      </c>
      <c r="G189" s="4" t="str">
        <f>TEXT(Work[[#This Row],[Delivered Date]],"mmm")</f>
        <v>May</v>
      </c>
      <c r="H189" s="16">
        <f>MONTH(Work[[#This Row],[Delivered Date]])</f>
        <v>5</v>
      </c>
      <c r="I189" s="1" t="str">
        <f>TEXT(Work[[#This Row],[Delivered Date]],"ddd")</f>
        <v>Mon</v>
      </c>
      <c r="J189" s="4">
        <f>_xlfn.XLOOKUP(Work[[#This Row],[Product Name]],Cost[Product Name],Cost[Cost Percentage],"NA")</f>
        <v>0.65</v>
      </c>
      <c r="K189" s="3">
        <v>773</v>
      </c>
      <c r="L189" s="3">
        <f>Work[[#This Row],[Unit Price]]*Work[[#This Row],[Quantity]]</f>
        <v>773</v>
      </c>
      <c r="M189" s="3">
        <f>Work[[#This Row],[Revenue]]*Work[[#This Row],[cost percentage]]</f>
        <v>502.45000000000005</v>
      </c>
      <c r="N189" s="3">
        <f>Work[[#This Row],[Revenue]]-Work[[#This Row],[Cost]]</f>
        <v>270.54999999999995</v>
      </c>
      <c r="O189">
        <v>1</v>
      </c>
      <c r="P189" s="6">
        <f>Work[[#This Row],[Delivered Date]]-Work[[#This Row],[Order Date]]</f>
        <v>3</v>
      </c>
      <c r="Q189" t="s">
        <v>14</v>
      </c>
      <c r="R189" t="s">
        <v>551</v>
      </c>
      <c r="S189" t="s">
        <v>46</v>
      </c>
    </row>
    <row r="190" spans="1:19" x14ac:dyDescent="0.35">
      <c r="A190">
        <v>223</v>
      </c>
      <c r="B190" t="s">
        <v>269</v>
      </c>
      <c r="C190" t="s">
        <v>12</v>
      </c>
      <c r="D190" t="s">
        <v>27</v>
      </c>
      <c r="E190" s="9">
        <v>45416</v>
      </c>
      <c r="F190" s="9">
        <v>45429</v>
      </c>
      <c r="G190" s="4" t="str">
        <f>TEXT(Work[[#This Row],[Delivered Date]],"mmm")</f>
        <v>May</v>
      </c>
      <c r="H190" s="16">
        <f>MONTH(Work[[#This Row],[Delivered Date]])</f>
        <v>5</v>
      </c>
      <c r="I190" s="1" t="str">
        <f>TEXT(Work[[#This Row],[Delivered Date]],"ddd")</f>
        <v>Fri</v>
      </c>
      <c r="J190" s="4">
        <f>_xlfn.XLOOKUP(Work[[#This Row],[Product Name]],Cost[Product Name],Cost[Cost Percentage],"NA")</f>
        <v>0.65</v>
      </c>
      <c r="K190" s="3">
        <v>730</v>
      </c>
      <c r="L190" s="3">
        <f>Work[[#This Row],[Unit Price]]*Work[[#This Row],[Quantity]]</f>
        <v>7300</v>
      </c>
      <c r="M190" s="3">
        <f>Work[[#This Row],[Revenue]]*Work[[#This Row],[cost percentage]]</f>
        <v>4745</v>
      </c>
      <c r="N190" s="3">
        <f>Work[[#This Row],[Revenue]]-Work[[#This Row],[Cost]]</f>
        <v>2555</v>
      </c>
      <c r="O190">
        <v>10</v>
      </c>
      <c r="P190" s="6">
        <f>Work[[#This Row],[Delivered Date]]-Work[[#This Row],[Order Date]]</f>
        <v>13</v>
      </c>
      <c r="Q190" t="s">
        <v>14</v>
      </c>
      <c r="R190" t="s">
        <v>551</v>
      </c>
      <c r="S190" t="s">
        <v>15</v>
      </c>
    </row>
    <row r="191" spans="1:19" x14ac:dyDescent="0.35">
      <c r="A191">
        <v>225</v>
      </c>
      <c r="B191" t="s">
        <v>271</v>
      </c>
      <c r="C191" t="s">
        <v>21</v>
      </c>
      <c r="D191" t="s">
        <v>40</v>
      </c>
      <c r="E191" s="9">
        <v>45425</v>
      </c>
      <c r="F191" s="9">
        <v>45428</v>
      </c>
      <c r="G191" s="4" t="str">
        <f>TEXT(Work[[#This Row],[Delivered Date]],"mmm")</f>
        <v>May</v>
      </c>
      <c r="H191" s="16">
        <f>MONTH(Work[[#This Row],[Delivered Date]])</f>
        <v>5</v>
      </c>
      <c r="I191" s="1" t="str">
        <f>TEXT(Work[[#This Row],[Delivered Date]],"ddd")</f>
        <v>Thu</v>
      </c>
      <c r="J191" s="4">
        <f>_xlfn.XLOOKUP(Work[[#This Row],[Product Name]],Cost[Product Name],Cost[Cost Percentage],"NA")</f>
        <v>0.65</v>
      </c>
      <c r="K191" s="3">
        <v>967</v>
      </c>
      <c r="L191" s="3">
        <f>Work[[#This Row],[Unit Price]]*Work[[#This Row],[Quantity]]</f>
        <v>8703</v>
      </c>
      <c r="M191" s="3">
        <f>Work[[#This Row],[Revenue]]*Work[[#This Row],[cost percentage]]</f>
        <v>5656.95</v>
      </c>
      <c r="N191" s="3">
        <f>Work[[#This Row],[Revenue]]-Work[[#This Row],[Cost]]</f>
        <v>3046.05</v>
      </c>
      <c r="O191">
        <v>9</v>
      </c>
      <c r="P191" s="6">
        <f>Work[[#This Row],[Delivered Date]]-Work[[#This Row],[Order Date]]</f>
        <v>3</v>
      </c>
      <c r="Q191" t="s">
        <v>28</v>
      </c>
      <c r="R191" t="s">
        <v>33</v>
      </c>
      <c r="S191" t="s">
        <v>15</v>
      </c>
    </row>
    <row r="192" spans="1:19" x14ac:dyDescent="0.35">
      <c r="A192">
        <v>282</v>
      </c>
      <c r="B192" t="s">
        <v>328</v>
      </c>
      <c r="C192" t="s">
        <v>24</v>
      </c>
      <c r="D192" t="s">
        <v>115</v>
      </c>
      <c r="E192" s="9">
        <v>45415</v>
      </c>
      <c r="F192" s="9">
        <v>45419</v>
      </c>
      <c r="G192" s="4" t="str">
        <f>TEXT(Work[[#This Row],[Delivered Date]],"mmm")</f>
        <v>May</v>
      </c>
      <c r="H192" s="16">
        <f>MONTH(Work[[#This Row],[Delivered Date]])</f>
        <v>5</v>
      </c>
      <c r="I192" s="1" t="str">
        <f>TEXT(Work[[#This Row],[Delivered Date]],"ddd")</f>
        <v>Tue</v>
      </c>
      <c r="J192" s="4">
        <f>_xlfn.XLOOKUP(Work[[#This Row],[Product Name]],Cost[Product Name],Cost[Cost Percentage],"NA")</f>
        <v>0.6</v>
      </c>
      <c r="K192" s="3">
        <v>663</v>
      </c>
      <c r="L192" s="3">
        <f>Work[[#This Row],[Unit Price]]*Work[[#This Row],[Quantity]]</f>
        <v>5304</v>
      </c>
      <c r="M192" s="3">
        <f>Work[[#This Row],[Revenue]]*Work[[#This Row],[cost percentage]]</f>
        <v>3182.4</v>
      </c>
      <c r="N192" s="3">
        <f>Work[[#This Row],[Revenue]]-Work[[#This Row],[Cost]]</f>
        <v>2121.6</v>
      </c>
      <c r="O192">
        <v>8</v>
      </c>
      <c r="P192" s="6">
        <f>Work[[#This Row],[Delivered Date]]-Work[[#This Row],[Order Date]]</f>
        <v>4</v>
      </c>
      <c r="Q192" t="s">
        <v>28</v>
      </c>
      <c r="R192" t="s">
        <v>552</v>
      </c>
      <c r="S192" t="s">
        <v>29</v>
      </c>
    </row>
    <row r="193" spans="1:19" x14ac:dyDescent="0.35">
      <c r="A193">
        <v>294</v>
      </c>
      <c r="B193" t="s">
        <v>340</v>
      </c>
      <c r="C193" t="s">
        <v>21</v>
      </c>
      <c r="D193" t="s">
        <v>52</v>
      </c>
      <c r="E193" s="9">
        <v>45417</v>
      </c>
      <c r="F193" s="9">
        <v>45421</v>
      </c>
      <c r="G193" s="4" t="str">
        <f>TEXT(Work[[#This Row],[Delivered Date]],"mmm")</f>
        <v>May</v>
      </c>
      <c r="H193" s="16">
        <f>MONTH(Work[[#This Row],[Delivered Date]])</f>
        <v>5</v>
      </c>
      <c r="I193" s="1" t="str">
        <f>TEXT(Work[[#This Row],[Delivered Date]],"ddd")</f>
        <v>Thu</v>
      </c>
      <c r="J193" s="4">
        <f>_xlfn.XLOOKUP(Work[[#This Row],[Product Name]],Cost[Product Name],Cost[Cost Percentage],"NA")</f>
        <v>0.7</v>
      </c>
      <c r="K193" s="3">
        <v>16</v>
      </c>
      <c r="L193" s="3">
        <f>Work[[#This Row],[Unit Price]]*Work[[#This Row],[Quantity]]</f>
        <v>48</v>
      </c>
      <c r="M193" s="3">
        <f>Work[[#This Row],[Revenue]]*Work[[#This Row],[cost percentage]]</f>
        <v>33.599999999999994</v>
      </c>
      <c r="N193" s="3">
        <f>Work[[#This Row],[Revenue]]-Work[[#This Row],[Cost]]</f>
        <v>14.400000000000006</v>
      </c>
      <c r="O193">
        <v>3</v>
      </c>
      <c r="P193" s="6">
        <f>Work[[#This Row],[Delivered Date]]-Work[[#This Row],[Order Date]]</f>
        <v>4</v>
      </c>
      <c r="Q193" t="s">
        <v>14</v>
      </c>
      <c r="R193" t="s">
        <v>550</v>
      </c>
      <c r="S193" t="s">
        <v>29</v>
      </c>
    </row>
    <row r="194" spans="1:19" x14ac:dyDescent="0.35">
      <c r="A194">
        <v>299</v>
      </c>
      <c r="B194" t="s">
        <v>345</v>
      </c>
      <c r="C194" t="s">
        <v>24</v>
      </c>
      <c r="D194" t="s">
        <v>25</v>
      </c>
      <c r="E194" s="9">
        <v>45411</v>
      </c>
      <c r="F194" s="9">
        <v>45426</v>
      </c>
      <c r="G194" s="4" t="str">
        <f>TEXT(Work[[#This Row],[Delivered Date]],"mmm")</f>
        <v>May</v>
      </c>
      <c r="H194" s="16">
        <f>MONTH(Work[[#This Row],[Delivered Date]])</f>
        <v>5</v>
      </c>
      <c r="I194" s="1" t="str">
        <f>TEXT(Work[[#This Row],[Delivered Date]],"ddd")</f>
        <v>Tue</v>
      </c>
      <c r="J194" s="4">
        <f>_xlfn.XLOOKUP(Work[[#This Row],[Product Name]],Cost[Product Name],Cost[Cost Percentage],"NA")</f>
        <v>0.55000000000000004</v>
      </c>
      <c r="K194" s="3">
        <v>976</v>
      </c>
      <c r="L194" s="3">
        <f>Work[[#This Row],[Unit Price]]*Work[[#This Row],[Quantity]]</f>
        <v>1952</v>
      </c>
      <c r="M194" s="3">
        <f>Work[[#This Row],[Revenue]]*Work[[#This Row],[cost percentage]]</f>
        <v>1073.6000000000001</v>
      </c>
      <c r="N194" s="3">
        <f>Work[[#This Row],[Revenue]]-Work[[#This Row],[Cost]]</f>
        <v>878.39999999999986</v>
      </c>
      <c r="O194">
        <v>2</v>
      </c>
      <c r="P194" s="6">
        <f>Work[[#This Row],[Delivered Date]]-Work[[#This Row],[Order Date]]</f>
        <v>15</v>
      </c>
      <c r="Q194" t="s">
        <v>28</v>
      </c>
      <c r="R194" t="s">
        <v>548</v>
      </c>
      <c r="S194" t="s">
        <v>46</v>
      </c>
    </row>
    <row r="195" spans="1:19" x14ac:dyDescent="0.35">
      <c r="A195">
        <v>322</v>
      </c>
      <c r="B195" t="s">
        <v>368</v>
      </c>
      <c r="C195" t="s">
        <v>21</v>
      </c>
      <c r="D195" t="s">
        <v>54</v>
      </c>
      <c r="E195" s="9">
        <v>45793</v>
      </c>
      <c r="F195" s="9">
        <v>45799</v>
      </c>
      <c r="G195" s="4" t="str">
        <f>TEXT(Work[[#This Row],[Delivered Date]],"mmm")</f>
        <v>May</v>
      </c>
      <c r="H195" s="16">
        <f>MONTH(Work[[#This Row],[Delivered Date]])</f>
        <v>5</v>
      </c>
      <c r="I195" s="1" t="str">
        <f>TEXT(Work[[#This Row],[Delivered Date]],"ddd")</f>
        <v>Thu</v>
      </c>
      <c r="J195" s="4">
        <f>_xlfn.XLOOKUP(Work[[#This Row],[Product Name]],Cost[Product Name],Cost[Cost Percentage],"NA")</f>
        <v>0.7</v>
      </c>
      <c r="K195" s="3">
        <v>434</v>
      </c>
      <c r="L195" s="3">
        <f>Work[[#This Row],[Unit Price]]*Work[[#This Row],[Quantity]]</f>
        <v>4340</v>
      </c>
      <c r="M195" s="3">
        <f>Work[[#This Row],[Revenue]]*Work[[#This Row],[cost percentage]]</f>
        <v>3038</v>
      </c>
      <c r="N195" s="3">
        <f>Work[[#This Row],[Revenue]]-Work[[#This Row],[Cost]]</f>
        <v>1302</v>
      </c>
      <c r="O195">
        <v>10</v>
      </c>
      <c r="P195" s="6">
        <f>Work[[#This Row],[Delivered Date]]-Work[[#This Row],[Order Date]]</f>
        <v>6</v>
      </c>
      <c r="Q195" t="s">
        <v>14</v>
      </c>
      <c r="R195" t="s">
        <v>550</v>
      </c>
      <c r="S195" t="s">
        <v>15</v>
      </c>
    </row>
    <row r="196" spans="1:19" x14ac:dyDescent="0.35">
      <c r="A196">
        <v>338</v>
      </c>
      <c r="B196" t="s">
        <v>384</v>
      </c>
      <c r="C196" t="s">
        <v>17</v>
      </c>
      <c r="D196" t="s">
        <v>64</v>
      </c>
      <c r="E196" s="9">
        <v>45775</v>
      </c>
      <c r="F196" s="9">
        <v>45778</v>
      </c>
      <c r="G196" s="4" t="str">
        <f>TEXT(Work[[#This Row],[Delivered Date]],"mmm")</f>
        <v>May</v>
      </c>
      <c r="H196" s="16">
        <f>MONTH(Work[[#This Row],[Delivered Date]])</f>
        <v>5</v>
      </c>
      <c r="I196" s="1" t="str">
        <f>TEXT(Work[[#This Row],[Delivered Date]],"ddd")</f>
        <v>Thu</v>
      </c>
      <c r="J196" s="4">
        <f>_xlfn.XLOOKUP(Work[[#This Row],[Product Name]],Cost[Product Name],Cost[Cost Percentage],"NA")</f>
        <v>0.5</v>
      </c>
      <c r="K196" s="3">
        <v>678</v>
      </c>
      <c r="L196" s="3">
        <f>Work[[#This Row],[Unit Price]]*Work[[#This Row],[Quantity]]</f>
        <v>6780</v>
      </c>
      <c r="M196" s="3">
        <f>Work[[#This Row],[Revenue]]*Work[[#This Row],[cost percentage]]</f>
        <v>3390</v>
      </c>
      <c r="N196" s="3">
        <f>Work[[#This Row],[Revenue]]-Work[[#This Row],[Cost]]</f>
        <v>3390</v>
      </c>
      <c r="O196">
        <v>10</v>
      </c>
      <c r="P196" s="6">
        <f>Work[[#This Row],[Delivered Date]]-Work[[#This Row],[Order Date]]</f>
        <v>3</v>
      </c>
      <c r="Q196" t="s">
        <v>14</v>
      </c>
      <c r="R196" t="s">
        <v>550</v>
      </c>
      <c r="S196" t="s">
        <v>46</v>
      </c>
    </row>
    <row r="197" spans="1:19" x14ac:dyDescent="0.35">
      <c r="A197">
        <v>357</v>
      </c>
      <c r="B197" t="s">
        <v>403</v>
      </c>
      <c r="C197" t="s">
        <v>31</v>
      </c>
      <c r="D197" t="s">
        <v>76</v>
      </c>
      <c r="E197" s="9">
        <v>45775</v>
      </c>
      <c r="F197" s="9">
        <v>45780</v>
      </c>
      <c r="G197" s="4" t="str">
        <f>TEXT(Work[[#This Row],[Delivered Date]],"mmm")</f>
        <v>May</v>
      </c>
      <c r="H197" s="16">
        <f>MONTH(Work[[#This Row],[Delivered Date]])</f>
        <v>5</v>
      </c>
      <c r="I197" s="1" t="str">
        <f>TEXT(Work[[#This Row],[Delivered Date]],"ddd")</f>
        <v>Sat</v>
      </c>
      <c r="J197" s="4">
        <f>_xlfn.XLOOKUP(Work[[#This Row],[Product Name]],Cost[Product Name],Cost[Cost Percentage],"NA")</f>
        <v>0.75</v>
      </c>
      <c r="K197" s="3">
        <v>788</v>
      </c>
      <c r="L197" s="3">
        <f>Work[[#This Row],[Unit Price]]*Work[[#This Row],[Quantity]]</f>
        <v>2364</v>
      </c>
      <c r="M197" s="3">
        <f>Work[[#This Row],[Revenue]]*Work[[#This Row],[cost percentage]]</f>
        <v>1773</v>
      </c>
      <c r="N197" s="3">
        <f>Work[[#This Row],[Revenue]]-Work[[#This Row],[Cost]]</f>
        <v>591</v>
      </c>
      <c r="O197">
        <v>3</v>
      </c>
      <c r="P197" s="6">
        <f>Work[[#This Row],[Delivered Date]]-Work[[#This Row],[Order Date]]</f>
        <v>5</v>
      </c>
      <c r="Q197" t="s">
        <v>14</v>
      </c>
      <c r="R197" t="s">
        <v>549</v>
      </c>
      <c r="S197" t="s">
        <v>19</v>
      </c>
    </row>
    <row r="198" spans="1:19" x14ac:dyDescent="0.35">
      <c r="A198">
        <v>373</v>
      </c>
      <c r="B198" t="s">
        <v>419</v>
      </c>
      <c r="C198" t="s">
        <v>21</v>
      </c>
      <c r="D198" t="s">
        <v>83</v>
      </c>
      <c r="E198" s="9">
        <v>45790</v>
      </c>
      <c r="F198" s="9">
        <v>45793</v>
      </c>
      <c r="G198" s="4" t="str">
        <f>TEXT(Work[[#This Row],[Delivered Date]],"mmm")</f>
        <v>May</v>
      </c>
      <c r="H198" s="16">
        <f>MONTH(Work[[#This Row],[Delivered Date]])</f>
        <v>5</v>
      </c>
      <c r="I198" s="1" t="str">
        <f>TEXT(Work[[#This Row],[Delivered Date]],"ddd")</f>
        <v>Fri</v>
      </c>
      <c r="J198" s="4">
        <f>_xlfn.XLOOKUP(Work[[#This Row],[Product Name]],Cost[Product Name],Cost[Cost Percentage],"NA")</f>
        <v>0.8</v>
      </c>
      <c r="K198" s="3">
        <v>253</v>
      </c>
      <c r="L198" s="3">
        <f>Work[[#This Row],[Unit Price]]*Work[[#This Row],[Quantity]]</f>
        <v>2530</v>
      </c>
      <c r="M198" s="3">
        <f>Work[[#This Row],[Revenue]]*Work[[#This Row],[cost percentage]]</f>
        <v>2024</v>
      </c>
      <c r="N198" s="3">
        <f>Work[[#This Row],[Revenue]]-Work[[#This Row],[Cost]]</f>
        <v>506</v>
      </c>
      <c r="O198">
        <v>10</v>
      </c>
      <c r="P198" s="6">
        <f>Work[[#This Row],[Delivered Date]]-Work[[#This Row],[Order Date]]</f>
        <v>3</v>
      </c>
      <c r="Q198" t="s">
        <v>14</v>
      </c>
      <c r="R198" t="s">
        <v>549</v>
      </c>
      <c r="S198" t="s">
        <v>19</v>
      </c>
    </row>
    <row r="199" spans="1:19" x14ac:dyDescent="0.35">
      <c r="A199">
        <v>396</v>
      </c>
      <c r="B199" t="s">
        <v>442</v>
      </c>
      <c r="C199" t="s">
        <v>17</v>
      </c>
      <c r="D199" t="s">
        <v>56</v>
      </c>
      <c r="E199" s="9">
        <v>45774</v>
      </c>
      <c r="F199" s="9">
        <v>45781</v>
      </c>
      <c r="G199" s="4" t="str">
        <f>TEXT(Work[[#This Row],[Delivered Date]],"mmm")</f>
        <v>May</v>
      </c>
      <c r="H199" s="16">
        <f>MONTH(Work[[#This Row],[Delivered Date]])</f>
        <v>5</v>
      </c>
      <c r="I199" s="1" t="str">
        <f>TEXT(Work[[#This Row],[Delivered Date]],"ddd")</f>
        <v>Sun</v>
      </c>
      <c r="J199" s="4">
        <f>_xlfn.XLOOKUP(Work[[#This Row],[Product Name]],Cost[Product Name],Cost[Cost Percentage],"NA")</f>
        <v>0.55000000000000004</v>
      </c>
      <c r="K199" s="3">
        <v>692</v>
      </c>
      <c r="L199" s="3">
        <f>Work[[#This Row],[Unit Price]]*Work[[#This Row],[Quantity]]</f>
        <v>692</v>
      </c>
      <c r="M199" s="3">
        <f>Work[[#This Row],[Revenue]]*Work[[#This Row],[cost percentage]]</f>
        <v>380.6</v>
      </c>
      <c r="N199" s="3">
        <f>Work[[#This Row],[Revenue]]-Work[[#This Row],[Cost]]</f>
        <v>311.39999999999998</v>
      </c>
      <c r="O199">
        <v>1</v>
      </c>
      <c r="P199" s="6">
        <f>Work[[#This Row],[Delivered Date]]-Work[[#This Row],[Order Date]]</f>
        <v>7</v>
      </c>
      <c r="Q199" t="s">
        <v>28</v>
      </c>
      <c r="R199" t="s">
        <v>550</v>
      </c>
      <c r="S199" t="s">
        <v>19</v>
      </c>
    </row>
    <row r="200" spans="1:19" x14ac:dyDescent="0.35">
      <c r="A200">
        <v>404</v>
      </c>
      <c r="B200" t="s">
        <v>450</v>
      </c>
      <c r="C200" t="s">
        <v>24</v>
      </c>
      <c r="D200" t="s">
        <v>38</v>
      </c>
      <c r="E200" s="9">
        <v>45782</v>
      </c>
      <c r="F200" s="9">
        <v>45785</v>
      </c>
      <c r="G200" s="4" t="str">
        <f>TEXT(Work[[#This Row],[Delivered Date]],"mmm")</f>
        <v>May</v>
      </c>
      <c r="H200" s="16">
        <f>MONTH(Work[[#This Row],[Delivered Date]])</f>
        <v>5</v>
      </c>
      <c r="I200" s="1" t="str">
        <f>TEXT(Work[[#This Row],[Delivered Date]],"ddd")</f>
        <v>Thu</v>
      </c>
      <c r="J200" s="4">
        <f>_xlfn.XLOOKUP(Work[[#This Row],[Product Name]],Cost[Product Name],Cost[Cost Percentage],"NA")</f>
        <v>0.5</v>
      </c>
      <c r="K200" s="3">
        <v>874</v>
      </c>
      <c r="L200" s="3">
        <f>Work[[#This Row],[Unit Price]]*Work[[#This Row],[Quantity]]</f>
        <v>1748</v>
      </c>
      <c r="M200" s="3">
        <f>Work[[#This Row],[Revenue]]*Work[[#This Row],[cost percentage]]</f>
        <v>874</v>
      </c>
      <c r="N200" s="3">
        <f>Work[[#This Row],[Revenue]]-Work[[#This Row],[Cost]]</f>
        <v>874</v>
      </c>
      <c r="O200">
        <v>2</v>
      </c>
      <c r="P200" s="6">
        <f>Work[[#This Row],[Delivered Date]]-Work[[#This Row],[Order Date]]</f>
        <v>3</v>
      </c>
      <c r="Q200" t="s">
        <v>14</v>
      </c>
      <c r="R200" t="s">
        <v>551</v>
      </c>
      <c r="S200" t="s">
        <v>29</v>
      </c>
    </row>
    <row r="201" spans="1:19" x14ac:dyDescent="0.35">
      <c r="A201">
        <v>428</v>
      </c>
      <c r="B201" t="s">
        <v>474</v>
      </c>
      <c r="C201" t="s">
        <v>17</v>
      </c>
      <c r="D201" t="s">
        <v>64</v>
      </c>
      <c r="E201" s="9">
        <v>45773</v>
      </c>
      <c r="F201" s="9">
        <v>45787</v>
      </c>
      <c r="G201" s="4" t="str">
        <f>TEXT(Work[[#This Row],[Delivered Date]],"mmm")</f>
        <v>May</v>
      </c>
      <c r="H201" s="16">
        <f>MONTH(Work[[#This Row],[Delivered Date]])</f>
        <v>5</v>
      </c>
      <c r="I201" s="1" t="str">
        <f>TEXT(Work[[#This Row],[Delivered Date]],"ddd")</f>
        <v>Sat</v>
      </c>
      <c r="J201" s="4">
        <f>_xlfn.XLOOKUP(Work[[#This Row],[Product Name]],Cost[Product Name],Cost[Cost Percentage],"NA")</f>
        <v>0.5</v>
      </c>
      <c r="K201" s="3">
        <v>320</v>
      </c>
      <c r="L201" s="3">
        <f>Work[[#This Row],[Unit Price]]*Work[[#This Row],[Quantity]]</f>
        <v>320</v>
      </c>
      <c r="M201" s="3">
        <f>Work[[#This Row],[Revenue]]*Work[[#This Row],[cost percentage]]</f>
        <v>160</v>
      </c>
      <c r="N201" s="3">
        <f>Work[[#This Row],[Revenue]]-Work[[#This Row],[Cost]]</f>
        <v>160</v>
      </c>
      <c r="O201">
        <v>1</v>
      </c>
      <c r="P201" s="6">
        <f>Work[[#This Row],[Delivered Date]]-Work[[#This Row],[Order Date]]</f>
        <v>14</v>
      </c>
      <c r="Q201" t="s">
        <v>28</v>
      </c>
      <c r="R201" t="s">
        <v>551</v>
      </c>
      <c r="S201" t="s">
        <v>15</v>
      </c>
    </row>
    <row r="202" spans="1:19" x14ac:dyDescent="0.35">
      <c r="A202">
        <v>433</v>
      </c>
      <c r="B202" t="s">
        <v>479</v>
      </c>
      <c r="C202" t="s">
        <v>31</v>
      </c>
      <c r="D202" t="s">
        <v>42</v>
      </c>
      <c r="E202" s="9">
        <v>45798</v>
      </c>
      <c r="F202" s="9">
        <v>45804</v>
      </c>
      <c r="G202" s="4" t="str">
        <f>TEXT(Work[[#This Row],[Delivered Date]],"mmm")</f>
        <v>May</v>
      </c>
      <c r="H202" s="16">
        <f>MONTH(Work[[#This Row],[Delivered Date]])</f>
        <v>5</v>
      </c>
      <c r="I202" s="1" t="str">
        <f>TEXT(Work[[#This Row],[Delivered Date]],"ddd")</f>
        <v>Tue</v>
      </c>
      <c r="J202" s="4">
        <f>_xlfn.XLOOKUP(Work[[#This Row],[Product Name]],Cost[Product Name],Cost[Cost Percentage],"NA")</f>
        <v>0.65</v>
      </c>
      <c r="K202" s="3">
        <v>773</v>
      </c>
      <c r="L202" s="3">
        <f>Work[[#This Row],[Unit Price]]*Work[[#This Row],[Quantity]]</f>
        <v>773</v>
      </c>
      <c r="M202" s="3">
        <f>Work[[#This Row],[Revenue]]*Work[[#This Row],[cost percentage]]</f>
        <v>502.45000000000005</v>
      </c>
      <c r="N202" s="3">
        <f>Work[[#This Row],[Revenue]]-Work[[#This Row],[Cost]]</f>
        <v>270.54999999999995</v>
      </c>
      <c r="O202">
        <v>1</v>
      </c>
      <c r="P202" s="6">
        <f>Work[[#This Row],[Delivered Date]]-Work[[#This Row],[Order Date]]</f>
        <v>6</v>
      </c>
      <c r="Q202" t="s">
        <v>28</v>
      </c>
      <c r="R202" t="s">
        <v>33</v>
      </c>
      <c r="S202" t="s">
        <v>15</v>
      </c>
    </row>
    <row r="203" spans="1:19" x14ac:dyDescent="0.35">
      <c r="A203">
        <v>457</v>
      </c>
      <c r="B203" t="s">
        <v>503</v>
      </c>
      <c r="C203" t="s">
        <v>17</v>
      </c>
      <c r="D203" t="s">
        <v>44</v>
      </c>
      <c r="E203" s="9">
        <v>45779</v>
      </c>
      <c r="F203" s="9">
        <v>45789</v>
      </c>
      <c r="G203" s="4" t="str">
        <f>TEXT(Work[[#This Row],[Delivered Date]],"mmm")</f>
        <v>May</v>
      </c>
      <c r="H203" s="16">
        <f>MONTH(Work[[#This Row],[Delivered Date]])</f>
        <v>5</v>
      </c>
      <c r="I203" s="1" t="str">
        <f>TEXT(Work[[#This Row],[Delivered Date]],"ddd")</f>
        <v>Mon</v>
      </c>
      <c r="J203" s="4">
        <f>_xlfn.XLOOKUP(Work[[#This Row],[Product Name]],Cost[Product Name],Cost[Cost Percentage],"NA")</f>
        <v>0.6</v>
      </c>
      <c r="K203" s="3">
        <v>872</v>
      </c>
      <c r="L203" s="3">
        <f>Work[[#This Row],[Unit Price]]*Work[[#This Row],[Quantity]]</f>
        <v>3488</v>
      </c>
      <c r="M203" s="3">
        <f>Work[[#This Row],[Revenue]]*Work[[#This Row],[cost percentage]]</f>
        <v>2092.7999999999997</v>
      </c>
      <c r="N203" s="3">
        <f>Work[[#This Row],[Revenue]]-Work[[#This Row],[Cost]]</f>
        <v>1395.2000000000003</v>
      </c>
      <c r="O203">
        <v>4</v>
      </c>
      <c r="P203" s="6">
        <f>Work[[#This Row],[Delivered Date]]-Work[[#This Row],[Order Date]]</f>
        <v>10</v>
      </c>
      <c r="Q203" t="s">
        <v>14</v>
      </c>
      <c r="R203" t="s">
        <v>550</v>
      </c>
      <c r="S203" t="s">
        <v>29</v>
      </c>
    </row>
    <row r="204" spans="1:19" x14ac:dyDescent="0.35">
      <c r="A204">
        <v>465</v>
      </c>
      <c r="B204" t="s">
        <v>511</v>
      </c>
      <c r="C204" t="s">
        <v>24</v>
      </c>
      <c r="D204" t="s">
        <v>38</v>
      </c>
      <c r="E204" s="9">
        <v>45793</v>
      </c>
      <c r="F204" s="9">
        <v>45802</v>
      </c>
      <c r="G204" s="4" t="str">
        <f>TEXT(Work[[#This Row],[Delivered Date]],"mmm")</f>
        <v>May</v>
      </c>
      <c r="H204" s="16">
        <f>MONTH(Work[[#This Row],[Delivered Date]])</f>
        <v>5</v>
      </c>
      <c r="I204" s="1" t="str">
        <f>TEXT(Work[[#This Row],[Delivered Date]],"ddd")</f>
        <v>Sun</v>
      </c>
      <c r="J204" s="4">
        <f>_xlfn.XLOOKUP(Work[[#This Row],[Product Name]],Cost[Product Name],Cost[Cost Percentage],"NA")</f>
        <v>0.5</v>
      </c>
      <c r="K204" s="3">
        <v>959</v>
      </c>
      <c r="L204" s="3">
        <f>Work[[#This Row],[Unit Price]]*Work[[#This Row],[Quantity]]</f>
        <v>3836</v>
      </c>
      <c r="M204" s="3">
        <f>Work[[#This Row],[Revenue]]*Work[[#This Row],[cost percentage]]</f>
        <v>1918</v>
      </c>
      <c r="N204" s="3">
        <f>Work[[#This Row],[Revenue]]-Work[[#This Row],[Cost]]</f>
        <v>1918</v>
      </c>
      <c r="O204">
        <v>4</v>
      </c>
      <c r="P204" s="6">
        <f>Work[[#This Row],[Delivered Date]]-Work[[#This Row],[Order Date]]</f>
        <v>9</v>
      </c>
      <c r="Q204" t="s">
        <v>14</v>
      </c>
      <c r="R204" t="s">
        <v>550</v>
      </c>
      <c r="S204" t="s">
        <v>29</v>
      </c>
    </row>
    <row r="205" spans="1:19" x14ac:dyDescent="0.35">
      <c r="A205">
        <v>472</v>
      </c>
      <c r="B205" t="s">
        <v>518</v>
      </c>
      <c r="C205" t="s">
        <v>24</v>
      </c>
      <c r="D205" t="s">
        <v>25</v>
      </c>
      <c r="E205" s="9">
        <v>45770</v>
      </c>
      <c r="F205" s="9">
        <v>45779</v>
      </c>
      <c r="G205" s="4" t="str">
        <f>TEXT(Work[[#This Row],[Delivered Date]],"mmm")</f>
        <v>May</v>
      </c>
      <c r="H205" s="16">
        <f>MONTH(Work[[#This Row],[Delivered Date]])</f>
        <v>5</v>
      </c>
      <c r="I205" s="1" t="str">
        <f>TEXT(Work[[#This Row],[Delivered Date]],"ddd")</f>
        <v>Fri</v>
      </c>
      <c r="J205" s="4">
        <f>_xlfn.XLOOKUP(Work[[#This Row],[Product Name]],Cost[Product Name],Cost[Cost Percentage],"NA")</f>
        <v>0.55000000000000004</v>
      </c>
      <c r="K205" s="3">
        <v>689</v>
      </c>
      <c r="L205" s="3">
        <f>Work[[#This Row],[Unit Price]]*Work[[#This Row],[Quantity]]</f>
        <v>2756</v>
      </c>
      <c r="M205" s="3">
        <f>Work[[#This Row],[Revenue]]*Work[[#This Row],[cost percentage]]</f>
        <v>1515.8000000000002</v>
      </c>
      <c r="N205" s="3">
        <f>Work[[#This Row],[Revenue]]-Work[[#This Row],[Cost]]</f>
        <v>1240.1999999999998</v>
      </c>
      <c r="O205">
        <v>4</v>
      </c>
      <c r="P205" s="6">
        <f>Work[[#This Row],[Delivered Date]]-Work[[#This Row],[Order Date]]</f>
        <v>9</v>
      </c>
      <c r="Q205" t="s">
        <v>28</v>
      </c>
      <c r="R205" t="s">
        <v>549</v>
      </c>
      <c r="S205" t="s">
        <v>19</v>
      </c>
    </row>
    <row r="206" spans="1:19" x14ac:dyDescent="0.35">
      <c r="A206">
        <v>494</v>
      </c>
      <c r="B206" t="s">
        <v>55</v>
      </c>
      <c r="C206" t="s">
        <v>21</v>
      </c>
      <c r="D206" t="s">
        <v>54</v>
      </c>
      <c r="E206" s="9">
        <v>45800</v>
      </c>
      <c r="F206" s="9">
        <v>45803</v>
      </c>
      <c r="G206" s="4" t="str">
        <f>TEXT(Work[[#This Row],[Delivered Date]],"mmm")</f>
        <v>May</v>
      </c>
      <c r="H206" s="16">
        <f>MONTH(Work[[#This Row],[Delivered Date]])</f>
        <v>5</v>
      </c>
      <c r="I206" s="1" t="str">
        <f>TEXT(Work[[#This Row],[Delivered Date]],"ddd")</f>
        <v>Mon</v>
      </c>
      <c r="J206" s="4">
        <f>_xlfn.XLOOKUP(Work[[#This Row],[Product Name]],Cost[Product Name],Cost[Cost Percentage],"NA")</f>
        <v>0.7</v>
      </c>
      <c r="K206" s="3">
        <v>740</v>
      </c>
      <c r="L206" s="3">
        <f>Work[[#This Row],[Unit Price]]*Work[[#This Row],[Quantity]]</f>
        <v>2960</v>
      </c>
      <c r="M206" s="3">
        <f>Work[[#This Row],[Revenue]]*Work[[#This Row],[cost percentage]]</f>
        <v>2072</v>
      </c>
      <c r="N206" s="3">
        <f>Work[[#This Row],[Revenue]]-Work[[#This Row],[Cost]]</f>
        <v>888</v>
      </c>
      <c r="O206">
        <v>4</v>
      </c>
      <c r="P206" s="6">
        <f>Work[[#This Row],[Delivered Date]]-Work[[#This Row],[Order Date]]</f>
        <v>3</v>
      </c>
      <c r="Q206" t="s">
        <v>14</v>
      </c>
      <c r="R206" t="s">
        <v>549</v>
      </c>
      <c r="S206" t="s">
        <v>29</v>
      </c>
    </row>
    <row r="207" spans="1:19" x14ac:dyDescent="0.35">
      <c r="A207">
        <v>517</v>
      </c>
      <c r="B207" t="s">
        <v>85</v>
      </c>
      <c r="C207" t="s">
        <v>12</v>
      </c>
      <c r="D207" t="s">
        <v>13</v>
      </c>
      <c r="E207" s="9">
        <v>45799</v>
      </c>
      <c r="F207" s="9">
        <v>45806</v>
      </c>
      <c r="G207" s="4" t="str">
        <f>TEXT(Work[[#This Row],[Delivered Date]],"mmm")</f>
        <v>May</v>
      </c>
      <c r="H207" s="16">
        <f>MONTH(Work[[#This Row],[Delivered Date]])</f>
        <v>5</v>
      </c>
      <c r="I207" s="1" t="str">
        <f>TEXT(Work[[#This Row],[Delivered Date]],"ddd")</f>
        <v>Thu</v>
      </c>
      <c r="J207" s="4">
        <f>_xlfn.XLOOKUP(Work[[#This Row],[Product Name]],Cost[Product Name],Cost[Cost Percentage],"NA")</f>
        <v>0.75</v>
      </c>
      <c r="K207" s="3">
        <v>453</v>
      </c>
      <c r="L207" s="3">
        <f>Work[[#This Row],[Unit Price]]*Work[[#This Row],[Quantity]]</f>
        <v>3624</v>
      </c>
      <c r="M207" s="3">
        <f>Work[[#This Row],[Revenue]]*Work[[#This Row],[cost percentage]]</f>
        <v>2718</v>
      </c>
      <c r="N207" s="3">
        <f>Work[[#This Row],[Revenue]]-Work[[#This Row],[Cost]]</f>
        <v>906</v>
      </c>
      <c r="O207">
        <v>8</v>
      </c>
      <c r="P207" s="6">
        <f>Work[[#This Row],[Delivered Date]]-Work[[#This Row],[Order Date]]</f>
        <v>7</v>
      </c>
      <c r="Q207" t="s">
        <v>28</v>
      </c>
      <c r="R207" t="s">
        <v>549</v>
      </c>
      <c r="S207" t="s">
        <v>19</v>
      </c>
    </row>
    <row r="208" spans="1:19" x14ac:dyDescent="0.35">
      <c r="A208">
        <v>531</v>
      </c>
      <c r="B208" t="s">
        <v>101</v>
      </c>
      <c r="C208" t="s">
        <v>24</v>
      </c>
      <c r="D208" t="s">
        <v>70</v>
      </c>
      <c r="E208" s="9">
        <v>45793</v>
      </c>
      <c r="F208" s="9">
        <v>45797</v>
      </c>
      <c r="G208" s="4" t="str">
        <f>TEXT(Work[[#This Row],[Delivered Date]],"mmm")</f>
        <v>May</v>
      </c>
      <c r="H208" s="16">
        <f>MONTH(Work[[#This Row],[Delivered Date]])</f>
        <v>5</v>
      </c>
      <c r="I208" s="1" t="str">
        <f>TEXT(Work[[#This Row],[Delivered Date]],"ddd")</f>
        <v>Tue</v>
      </c>
      <c r="J208" s="4">
        <f>_xlfn.XLOOKUP(Work[[#This Row],[Product Name]],Cost[Product Name],Cost[Cost Percentage],"NA")</f>
        <v>0.55000000000000004</v>
      </c>
      <c r="K208" s="3">
        <v>102</v>
      </c>
      <c r="L208" s="3">
        <f>Work[[#This Row],[Unit Price]]*Work[[#This Row],[Quantity]]</f>
        <v>1020</v>
      </c>
      <c r="M208" s="3">
        <f>Work[[#This Row],[Revenue]]*Work[[#This Row],[cost percentage]]</f>
        <v>561</v>
      </c>
      <c r="N208" s="3">
        <f>Work[[#This Row],[Revenue]]-Work[[#This Row],[Cost]]</f>
        <v>459</v>
      </c>
      <c r="O208">
        <v>10</v>
      </c>
      <c r="P208" s="6">
        <f>Work[[#This Row],[Delivered Date]]-Work[[#This Row],[Order Date]]</f>
        <v>4</v>
      </c>
      <c r="Q208" t="s">
        <v>28</v>
      </c>
      <c r="R208" t="s">
        <v>550</v>
      </c>
      <c r="S208" t="s">
        <v>29</v>
      </c>
    </row>
    <row r="209" spans="1:19" x14ac:dyDescent="0.35">
      <c r="A209">
        <v>539</v>
      </c>
      <c r="B209" t="s">
        <v>532</v>
      </c>
      <c r="C209" t="s">
        <v>17</v>
      </c>
      <c r="D209" t="s">
        <v>64</v>
      </c>
      <c r="E209" s="9">
        <v>45779</v>
      </c>
      <c r="F209" s="9">
        <v>45781</v>
      </c>
      <c r="G209" s="4" t="str">
        <f>TEXT(Work[[#This Row],[Delivered Date]],"mmm")</f>
        <v>May</v>
      </c>
      <c r="H209" s="16">
        <f>MONTH(Work[[#This Row],[Delivered Date]])</f>
        <v>5</v>
      </c>
      <c r="I209" s="1" t="str">
        <f>TEXT(Work[[#This Row],[Delivered Date]],"ddd")</f>
        <v>Sun</v>
      </c>
      <c r="J209" s="4">
        <f>_xlfn.XLOOKUP(Work[[#This Row],[Product Name]],Cost[Product Name],Cost[Cost Percentage],"NA")</f>
        <v>0.5</v>
      </c>
      <c r="K209" s="3">
        <v>578</v>
      </c>
      <c r="L209" s="3">
        <f>Work[[#This Row],[Unit Price]]*Work[[#This Row],[Quantity]]</f>
        <v>2312</v>
      </c>
      <c r="M209" s="3">
        <f>Work[[#This Row],[Revenue]]*Work[[#This Row],[cost percentage]]</f>
        <v>1156</v>
      </c>
      <c r="N209" s="3">
        <f>Work[[#This Row],[Revenue]]-Work[[#This Row],[Cost]]</f>
        <v>1156</v>
      </c>
      <c r="O209">
        <v>4</v>
      </c>
      <c r="P209" s="6">
        <f>Work[[#This Row],[Delivered Date]]-Work[[#This Row],[Order Date]]</f>
        <v>2</v>
      </c>
      <c r="Q209" t="s">
        <v>14</v>
      </c>
      <c r="R209" t="s">
        <v>551</v>
      </c>
      <c r="S209" t="s">
        <v>46</v>
      </c>
    </row>
    <row r="210" spans="1:19" x14ac:dyDescent="0.35">
      <c r="A210">
        <v>549</v>
      </c>
      <c r="B210" t="s">
        <v>107</v>
      </c>
      <c r="C210" t="s">
        <v>21</v>
      </c>
      <c r="D210" t="s">
        <v>22</v>
      </c>
      <c r="E210" s="9">
        <v>45787</v>
      </c>
      <c r="F210" s="9">
        <v>45794</v>
      </c>
      <c r="G210" s="4" t="str">
        <f>TEXT(Work[[#This Row],[Delivered Date]],"mmm")</f>
        <v>May</v>
      </c>
      <c r="H210" s="16">
        <f>MONTH(Work[[#This Row],[Delivered Date]])</f>
        <v>5</v>
      </c>
      <c r="I210" s="1" t="str">
        <f>TEXT(Work[[#This Row],[Delivered Date]],"ddd")</f>
        <v>Sat</v>
      </c>
      <c r="J210" s="4">
        <f>_xlfn.XLOOKUP(Work[[#This Row],[Product Name]],Cost[Product Name],Cost[Cost Percentage],"NA")</f>
        <v>0.75</v>
      </c>
      <c r="K210" s="3">
        <v>281</v>
      </c>
      <c r="L210" s="3">
        <f>Work[[#This Row],[Unit Price]]*Work[[#This Row],[Quantity]]</f>
        <v>2248</v>
      </c>
      <c r="M210" s="3">
        <f>Work[[#This Row],[Revenue]]*Work[[#This Row],[cost percentage]]</f>
        <v>1686</v>
      </c>
      <c r="N210" s="3">
        <f>Work[[#This Row],[Revenue]]-Work[[#This Row],[Cost]]</f>
        <v>562</v>
      </c>
      <c r="O210">
        <v>8</v>
      </c>
      <c r="P210" s="6">
        <f>Work[[#This Row],[Delivered Date]]-Work[[#This Row],[Order Date]]</f>
        <v>7</v>
      </c>
      <c r="Q210" t="s">
        <v>14</v>
      </c>
      <c r="R210" t="s">
        <v>33</v>
      </c>
      <c r="S210" t="s">
        <v>29</v>
      </c>
    </row>
    <row r="211" spans="1:19" x14ac:dyDescent="0.35">
      <c r="A211">
        <v>10</v>
      </c>
      <c r="B211" t="s">
        <v>39</v>
      </c>
      <c r="C211" t="s">
        <v>21</v>
      </c>
      <c r="D211" t="s">
        <v>40</v>
      </c>
      <c r="E211" s="9">
        <v>45453</v>
      </c>
      <c r="F211" s="9">
        <v>45468</v>
      </c>
      <c r="G211" s="4" t="str">
        <f>TEXT(Work[[#This Row],[Delivered Date]],"mmm")</f>
        <v>Jun</v>
      </c>
      <c r="H211" s="16">
        <f>MONTH(Work[[#This Row],[Delivered Date]])</f>
        <v>6</v>
      </c>
      <c r="I211" s="1" t="str">
        <f>TEXT(Work[[#This Row],[Delivered Date]],"ddd")</f>
        <v>Tue</v>
      </c>
      <c r="J211" s="4">
        <f>_xlfn.XLOOKUP(Work[[#This Row],[Product Name]],Cost[Product Name],Cost[Cost Percentage],"NA")</f>
        <v>0.65</v>
      </c>
      <c r="K211" s="3">
        <v>284</v>
      </c>
      <c r="L211" s="3">
        <f>Work[[#This Row],[Unit Price]]*Work[[#This Row],[Quantity]]</f>
        <v>1988</v>
      </c>
      <c r="M211" s="3">
        <f>Work[[#This Row],[Revenue]]*Work[[#This Row],[cost percentage]]</f>
        <v>1292.2</v>
      </c>
      <c r="N211" s="3">
        <f>Work[[#This Row],[Revenue]]-Work[[#This Row],[Cost]]</f>
        <v>695.8</v>
      </c>
      <c r="O211">
        <v>7</v>
      </c>
      <c r="P211" s="6">
        <f>Work[[#This Row],[Delivered Date]]-Work[[#This Row],[Order Date]]</f>
        <v>15</v>
      </c>
      <c r="Q211" t="s">
        <v>28</v>
      </c>
      <c r="R211" t="s">
        <v>551</v>
      </c>
      <c r="S211" t="s">
        <v>19</v>
      </c>
    </row>
    <row r="212" spans="1:19" x14ac:dyDescent="0.35">
      <c r="A212">
        <v>26</v>
      </c>
      <c r="B212" t="s">
        <v>65</v>
      </c>
      <c r="C212" t="s">
        <v>12</v>
      </c>
      <c r="D212" t="s">
        <v>13</v>
      </c>
      <c r="E212" s="9">
        <v>45461</v>
      </c>
      <c r="F212" s="9">
        <v>45472</v>
      </c>
      <c r="G212" s="4" t="str">
        <f>TEXT(Work[[#This Row],[Delivered Date]],"mmm")</f>
        <v>Jun</v>
      </c>
      <c r="H212" s="16">
        <f>MONTH(Work[[#This Row],[Delivered Date]])</f>
        <v>6</v>
      </c>
      <c r="I212" s="1" t="str">
        <f>TEXT(Work[[#This Row],[Delivered Date]],"ddd")</f>
        <v>Sat</v>
      </c>
      <c r="J212" s="4">
        <f>_xlfn.XLOOKUP(Work[[#This Row],[Product Name]],Cost[Product Name],Cost[Cost Percentage],"NA")</f>
        <v>0.75</v>
      </c>
      <c r="K212" s="3">
        <v>536</v>
      </c>
      <c r="L212" s="3">
        <f>Work[[#This Row],[Unit Price]]*Work[[#This Row],[Quantity]]</f>
        <v>1072</v>
      </c>
      <c r="M212" s="3">
        <f>Work[[#This Row],[Revenue]]*Work[[#This Row],[cost percentage]]</f>
        <v>804</v>
      </c>
      <c r="N212" s="3">
        <f>Work[[#This Row],[Revenue]]-Work[[#This Row],[Cost]]</f>
        <v>268</v>
      </c>
      <c r="O212">
        <v>2</v>
      </c>
      <c r="P212" s="6">
        <f>Work[[#This Row],[Delivered Date]]-Work[[#This Row],[Order Date]]</f>
        <v>11</v>
      </c>
      <c r="Q212" t="s">
        <v>28</v>
      </c>
      <c r="R212" t="s">
        <v>551</v>
      </c>
      <c r="S212" t="s">
        <v>15</v>
      </c>
    </row>
    <row r="213" spans="1:19" x14ac:dyDescent="0.35">
      <c r="A213">
        <v>59</v>
      </c>
      <c r="B213" t="s">
        <v>104</v>
      </c>
      <c r="C213" t="s">
        <v>31</v>
      </c>
      <c r="D213" t="s">
        <v>79</v>
      </c>
      <c r="E213" s="9">
        <v>45455</v>
      </c>
      <c r="F213" s="9">
        <v>45459</v>
      </c>
      <c r="G213" s="4" t="str">
        <f>TEXT(Work[[#This Row],[Delivered Date]],"mmm")</f>
        <v>Jun</v>
      </c>
      <c r="H213" s="16">
        <f>MONTH(Work[[#This Row],[Delivered Date]])</f>
        <v>6</v>
      </c>
      <c r="I213" s="1" t="str">
        <f>TEXT(Work[[#This Row],[Delivered Date]],"ddd")</f>
        <v>Sun</v>
      </c>
      <c r="J213" s="4">
        <f>_xlfn.XLOOKUP(Work[[#This Row],[Product Name]],Cost[Product Name],Cost[Cost Percentage],"NA")</f>
        <v>0.65</v>
      </c>
      <c r="K213" s="3">
        <v>92</v>
      </c>
      <c r="L213" s="3">
        <f>Work[[#This Row],[Unit Price]]*Work[[#This Row],[Quantity]]</f>
        <v>828</v>
      </c>
      <c r="M213" s="3">
        <f>Work[[#This Row],[Revenue]]*Work[[#This Row],[cost percentage]]</f>
        <v>538.20000000000005</v>
      </c>
      <c r="N213" s="3">
        <f>Work[[#This Row],[Revenue]]-Work[[#This Row],[Cost]]</f>
        <v>289.79999999999995</v>
      </c>
      <c r="O213">
        <v>9</v>
      </c>
      <c r="P213" s="6">
        <f>Work[[#This Row],[Delivered Date]]-Work[[#This Row],[Order Date]]</f>
        <v>4</v>
      </c>
      <c r="Q213" t="s">
        <v>14</v>
      </c>
      <c r="R213" t="s">
        <v>551</v>
      </c>
      <c r="S213" t="s">
        <v>19</v>
      </c>
    </row>
    <row r="214" spans="1:19" x14ac:dyDescent="0.35">
      <c r="A214">
        <v>74</v>
      </c>
      <c r="B214" t="s">
        <v>120</v>
      </c>
      <c r="C214" t="s">
        <v>12</v>
      </c>
      <c r="D214" t="s">
        <v>58</v>
      </c>
      <c r="E214" s="9">
        <v>45453</v>
      </c>
      <c r="F214" s="9">
        <v>45462</v>
      </c>
      <c r="G214" s="4" t="str">
        <f>TEXT(Work[[#This Row],[Delivered Date]],"mmm")</f>
        <v>Jun</v>
      </c>
      <c r="H214" s="16">
        <f>MONTH(Work[[#This Row],[Delivered Date]])</f>
        <v>6</v>
      </c>
      <c r="I214" s="1" t="str">
        <f>TEXT(Work[[#This Row],[Delivered Date]],"ddd")</f>
        <v>Wed</v>
      </c>
      <c r="J214" s="4">
        <f>_xlfn.XLOOKUP(Work[[#This Row],[Product Name]],Cost[Product Name],Cost[Cost Percentage],"NA")</f>
        <v>0.85</v>
      </c>
      <c r="K214" s="3">
        <v>770</v>
      </c>
      <c r="L214" s="3">
        <f>Work[[#This Row],[Unit Price]]*Work[[#This Row],[Quantity]]</f>
        <v>1540</v>
      </c>
      <c r="M214" s="3">
        <f>Work[[#This Row],[Revenue]]*Work[[#This Row],[cost percentage]]</f>
        <v>1309</v>
      </c>
      <c r="N214" s="3">
        <f>Work[[#This Row],[Revenue]]-Work[[#This Row],[Cost]]</f>
        <v>231</v>
      </c>
      <c r="O214">
        <v>2</v>
      </c>
      <c r="P214" s="6">
        <f>Work[[#This Row],[Delivered Date]]-Work[[#This Row],[Order Date]]</f>
        <v>9</v>
      </c>
      <c r="Q214" t="s">
        <v>14</v>
      </c>
      <c r="R214" t="s">
        <v>33</v>
      </c>
      <c r="S214" t="s">
        <v>46</v>
      </c>
    </row>
    <row r="215" spans="1:19" x14ac:dyDescent="0.35">
      <c r="A215">
        <v>75</v>
      </c>
      <c r="B215" t="s">
        <v>121</v>
      </c>
      <c r="C215" t="s">
        <v>12</v>
      </c>
      <c r="D215" t="s">
        <v>58</v>
      </c>
      <c r="E215" s="9">
        <v>45443</v>
      </c>
      <c r="F215" s="9">
        <v>45457</v>
      </c>
      <c r="G215" s="4" t="str">
        <f>TEXT(Work[[#This Row],[Delivered Date]],"mmm")</f>
        <v>Jun</v>
      </c>
      <c r="H215" s="16">
        <f>MONTH(Work[[#This Row],[Delivered Date]])</f>
        <v>6</v>
      </c>
      <c r="I215" s="1" t="str">
        <f>TEXT(Work[[#This Row],[Delivered Date]],"ddd")</f>
        <v>Fri</v>
      </c>
      <c r="J215" s="4">
        <f>_xlfn.XLOOKUP(Work[[#This Row],[Product Name]],Cost[Product Name],Cost[Cost Percentage],"NA")</f>
        <v>0.85</v>
      </c>
      <c r="K215" s="3">
        <v>379</v>
      </c>
      <c r="L215" s="3">
        <f>Work[[#This Row],[Unit Price]]*Work[[#This Row],[Quantity]]</f>
        <v>1516</v>
      </c>
      <c r="M215" s="3">
        <f>Work[[#This Row],[Revenue]]*Work[[#This Row],[cost percentage]]</f>
        <v>1288.5999999999999</v>
      </c>
      <c r="N215" s="3">
        <f>Work[[#This Row],[Revenue]]-Work[[#This Row],[Cost]]</f>
        <v>227.40000000000009</v>
      </c>
      <c r="O215">
        <v>4</v>
      </c>
      <c r="P215" s="6">
        <f>Work[[#This Row],[Delivered Date]]-Work[[#This Row],[Order Date]]</f>
        <v>14</v>
      </c>
      <c r="Q215" t="s">
        <v>14</v>
      </c>
      <c r="R215" t="s">
        <v>551</v>
      </c>
      <c r="S215" t="s">
        <v>29</v>
      </c>
    </row>
    <row r="216" spans="1:19" x14ac:dyDescent="0.35">
      <c r="A216">
        <v>81</v>
      </c>
      <c r="B216" t="s">
        <v>127</v>
      </c>
      <c r="C216" t="s">
        <v>17</v>
      </c>
      <c r="D216" t="s">
        <v>44</v>
      </c>
      <c r="E216" s="9">
        <v>45441</v>
      </c>
      <c r="F216" s="9">
        <v>45455</v>
      </c>
      <c r="G216" s="4" t="str">
        <f>TEXT(Work[[#This Row],[Delivered Date]],"mmm")</f>
        <v>Jun</v>
      </c>
      <c r="H216" s="16">
        <f>MONTH(Work[[#This Row],[Delivered Date]])</f>
        <v>6</v>
      </c>
      <c r="I216" s="1" t="str">
        <f>TEXT(Work[[#This Row],[Delivered Date]],"ddd")</f>
        <v>Wed</v>
      </c>
      <c r="J216" s="4">
        <f>_xlfn.XLOOKUP(Work[[#This Row],[Product Name]],Cost[Product Name],Cost[Cost Percentage],"NA")</f>
        <v>0.6</v>
      </c>
      <c r="K216" s="3">
        <v>247</v>
      </c>
      <c r="L216" s="3">
        <f>Work[[#This Row],[Unit Price]]*Work[[#This Row],[Quantity]]</f>
        <v>247</v>
      </c>
      <c r="M216" s="3">
        <f>Work[[#This Row],[Revenue]]*Work[[#This Row],[cost percentage]]</f>
        <v>148.19999999999999</v>
      </c>
      <c r="N216" s="3">
        <f>Work[[#This Row],[Revenue]]-Work[[#This Row],[Cost]]</f>
        <v>98.800000000000011</v>
      </c>
      <c r="O216">
        <v>1</v>
      </c>
      <c r="P216" s="6">
        <f>Work[[#This Row],[Delivered Date]]-Work[[#This Row],[Order Date]]</f>
        <v>14</v>
      </c>
      <c r="Q216" t="s">
        <v>28</v>
      </c>
      <c r="R216" t="s">
        <v>547</v>
      </c>
      <c r="S216" t="s">
        <v>29</v>
      </c>
    </row>
    <row r="217" spans="1:19" x14ac:dyDescent="0.35">
      <c r="A217">
        <v>86</v>
      </c>
      <c r="B217" t="s">
        <v>132</v>
      </c>
      <c r="C217" t="s">
        <v>12</v>
      </c>
      <c r="D217" t="s">
        <v>27</v>
      </c>
      <c r="E217" s="9">
        <v>45457</v>
      </c>
      <c r="F217" s="9">
        <v>45462</v>
      </c>
      <c r="G217" s="4" t="str">
        <f>TEXT(Work[[#This Row],[Delivered Date]],"mmm")</f>
        <v>Jun</v>
      </c>
      <c r="H217" s="16">
        <f>MONTH(Work[[#This Row],[Delivered Date]])</f>
        <v>6</v>
      </c>
      <c r="I217" s="1" t="str">
        <f>TEXT(Work[[#This Row],[Delivered Date]],"ddd")</f>
        <v>Wed</v>
      </c>
      <c r="J217" s="4">
        <f>_xlfn.XLOOKUP(Work[[#This Row],[Product Name]],Cost[Product Name],Cost[Cost Percentage],"NA")</f>
        <v>0.65</v>
      </c>
      <c r="K217" s="3">
        <v>266</v>
      </c>
      <c r="L217" s="3">
        <f>Work[[#This Row],[Unit Price]]*Work[[#This Row],[Quantity]]</f>
        <v>2660</v>
      </c>
      <c r="M217" s="3">
        <f>Work[[#This Row],[Revenue]]*Work[[#This Row],[cost percentage]]</f>
        <v>1729</v>
      </c>
      <c r="N217" s="3">
        <f>Work[[#This Row],[Revenue]]-Work[[#This Row],[Cost]]</f>
        <v>931</v>
      </c>
      <c r="O217">
        <v>10</v>
      </c>
      <c r="P217" s="6">
        <f>Work[[#This Row],[Delivered Date]]-Work[[#This Row],[Order Date]]</f>
        <v>5</v>
      </c>
      <c r="Q217" t="s">
        <v>14</v>
      </c>
      <c r="R217" t="s">
        <v>551</v>
      </c>
      <c r="S217" t="s">
        <v>15</v>
      </c>
    </row>
    <row r="218" spans="1:19" x14ac:dyDescent="0.35">
      <c r="A218">
        <v>87</v>
      </c>
      <c r="B218" t="s">
        <v>133</v>
      </c>
      <c r="C218" t="s">
        <v>17</v>
      </c>
      <c r="D218" t="s">
        <v>44</v>
      </c>
      <c r="E218" s="9">
        <v>45434</v>
      </c>
      <c r="F218" s="9">
        <v>45444</v>
      </c>
      <c r="G218" s="4" t="str">
        <f>TEXT(Work[[#This Row],[Delivered Date]],"mmm")</f>
        <v>Jun</v>
      </c>
      <c r="H218" s="16">
        <f>MONTH(Work[[#This Row],[Delivered Date]])</f>
        <v>6</v>
      </c>
      <c r="I218" s="1" t="str">
        <f>TEXT(Work[[#This Row],[Delivered Date]],"ddd")</f>
        <v>Sat</v>
      </c>
      <c r="J218" s="4">
        <f>_xlfn.XLOOKUP(Work[[#This Row],[Product Name]],Cost[Product Name],Cost[Cost Percentage],"NA")</f>
        <v>0.6</v>
      </c>
      <c r="K218" s="3">
        <v>609</v>
      </c>
      <c r="L218" s="3">
        <f>Work[[#This Row],[Unit Price]]*Work[[#This Row],[Quantity]]</f>
        <v>1827</v>
      </c>
      <c r="M218" s="3">
        <f>Work[[#This Row],[Revenue]]*Work[[#This Row],[cost percentage]]</f>
        <v>1096.2</v>
      </c>
      <c r="N218" s="3">
        <f>Work[[#This Row],[Revenue]]-Work[[#This Row],[Cost]]</f>
        <v>730.8</v>
      </c>
      <c r="O218">
        <v>3</v>
      </c>
      <c r="P218" s="6">
        <f>Work[[#This Row],[Delivered Date]]-Work[[#This Row],[Order Date]]</f>
        <v>10</v>
      </c>
      <c r="Q218" t="s">
        <v>14</v>
      </c>
      <c r="R218" t="s">
        <v>550</v>
      </c>
      <c r="S218" t="s">
        <v>15</v>
      </c>
    </row>
    <row r="219" spans="1:19" x14ac:dyDescent="0.35">
      <c r="A219">
        <v>95</v>
      </c>
      <c r="B219" t="s">
        <v>141</v>
      </c>
      <c r="C219" t="s">
        <v>12</v>
      </c>
      <c r="D219" t="s">
        <v>96</v>
      </c>
      <c r="E219" s="9">
        <v>45444</v>
      </c>
      <c r="F219" s="9">
        <v>45456</v>
      </c>
      <c r="G219" s="4" t="str">
        <f>TEXT(Work[[#This Row],[Delivered Date]],"mmm")</f>
        <v>Jun</v>
      </c>
      <c r="H219" s="16">
        <f>MONTH(Work[[#This Row],[Delivered Date]])</f>
        <v>6</v>
      </c>
      <c r="I219" s="1" t="str">
        <f>TEXT(Work[[#This Row],[Delivered Date]],"ddd")</f>
        <v>Thu</v>
      </c>
      <c r="J219" s="4">
        <f>_xlfn.XLOOKUP(Work[[#This Row],[Product Name]],Cost[Product Name],Cost[Cost Percentage],"NA")</f>
        <v>0.7</v>
      </c>
      <c r="K219" s="3">
        <v>603</v>
      </c>
      <c r="L219" s="3">
        <f>Work[[#This Row],[Unit Price]]*Work[[#This Row],[Quantity]]</f>
        <v>6030</v>
      </c>
      <c r="M219" s="3">
        <f>Work[[#This Row],[Revenue]]*Work[[#This Row],[cost percentage]]</f>
        <v>4221</v>
      </c>
      <c r="N219" s="3">
        <f>Work[[#This Row],[Revenue]]-Work[[#This Row],[Cost]]</f>
        <v>1809</v>
      </c>
      <c r="O219">
        <v>10</v>
      </c>
      <c r="P219" s="6">
        <f>Work[[#This Row],[Delivered Date]]-Work[[#This Row],[Order Date]]</f>
        <v>12</v>
      </c>
      <c r="Q219" t="s">
        <v>14</v>
      </c>
      <c r="R219" t="s">
        <v>33</v>
      </c>
      <c r="S219" t="s">
        <v>46</v>
      </c>
    </row>
    <row r="220" spans="1:19" x14ac:dyDescent="0.35">
      <c r="A220">
        <v>136</v>
      </c>
      <c r="B220" t="s">
        <v>182</v>
      </c>
      <c r="C220" t="s">
        <v>31</v>
      </c>
      <c r="D220" t="s">
        <v>42</v>
      </c>
      <c r="E220" s="9">
        <v>45462</v>
      </c>
      <c r="F220" s="9">
        <v>45469</v>
      </c>
      <c r="G220" s="4" t="str">
        <f>TEXT(Work[[#This Row],[Delivered Date]],"mmm")</f>
        <v>Jun</v>
      </c>
      <c r="H220" s="16">
        <f>MONTH(Work[[#This Row],[Delivered Date]])</f>
        <v>6</v>
      </c>
      <c r="I220" s="1" t="str">
        <f>TEXT(Work[[#This Row],[Delivered Date]],"ddd")</f>
        <v>Wed</v>
      </c>
      <c r="J220" s="4">
        <f>_xlfn.XLOOKUP(Work[[#This Row],[Product Name]],Cost[Product Name],Cost[Cost Percentage],"NA")</f>
        <v>0.65</v>
      </c>
      <c r="K220" s="3">
        <v>88</v>
      </c>
      <c r="L220" s="3">
        <f>Work[[#This Row],[Unit Price]]*Work[[#This Row],[Quantity]]</f>
        <v>264</v>
      </c>
      <c r="M220" s="3">
        <f>Work[[#This Row],[Revenue]]*Work[[#This Row],[cost percentage]]</f>
        <v>171.6</v>
      </c>
      <c r="N220" s="3">
        <f>Work[[#This Row],[Revenue]]-Work[[#This Row],[Cost]]</f>
        <v>92.4</v>
      </c>
      <c r="O220">
        <v>3</v>
      </c>
      <c r="P220" s="6">
        <f>Work[[#This Row],[Delivered Date]]-Work[[#This Row],[Order Date]]</f>
        <v>7</v>
      </c>
      <c r="Q220" t="s">
        <v>28</v>
      </c>
      <c r="R220" t="s">
        <v>33</v>
      </c>
      <c r="S220" t="s">
        <v>15</v>
      </c>
    </row>
    <row r="221" spans="1:19" x14ac:dyDescent="0.35">
      <c r="A221">
        <v>143</v>
      </c>
      <c r="B221" t="s">
        <v>189</v>
      </c>
      <c r="C221" t="s">
        <v>12</v>
      </c>
      <c r="D221" t="s">
        <v>96</v>
      </c>
      <c r="E221" s="9">
        <v>45438</v>
      </c>
      <c r="F221" s="9">
        <v>45444</v>
      </c>
      <c r="G221" s="4" t="str">
        <f>TEXT(Work[[#This Row],[Delivered Date]],"mmm")</f>
        <v>Jun</v>
      </c>
      <c r="H221" s="16">
        <f>MONTH(Work[[#This Row],[Delivered Date]])</f>
        <v>6</v>
      </c>
      <c r="I221" s="1" t="str">
        <f>TEXT(Work[[#This Row],[Delivered Date]],"ddd")</f>
        <v>Sat</v>
      </c>
      <c r="J221" s="4">
        <f>_xlfn.XLOOKUP(Work[[#This Row],[Product Name]],Cost[Product Name],Cost[Cost Percentage],"NA")</f>
        <v>0.7</v>
      </c>
      <c r="K221" s="3">
        <v>670</v>
      </c>
      <c r="L221" s="3">
        <f>Work[[#This Row],[Unit Price]]*Work[[#This Row],[Quantity]]</f>
        <v>1340</v>
      </c>
      <c r="M221" s="3">
        <f>Work[[#This Row],[Revenue]]*Work[[#This Row],[cost percentage]]</f>
        <v>937.99999999999989</v>
      </c>
      <c r="N221" s="3">
        <f>Work[[#This Row],[Revenue]]-Work[[#This Row],[Cost]]</f>
        <v>402.00000000000011</v>
      </c>
      <c r="O221">
        <v>2</v>
      </c>
      <c r="P221" s="6">
        <f>Work[[#This Row],[Delivered Date]]-Work[[#This Row],[Order Date]]</f>
        <v>6</v>
      </c>
      <c r="Q221" t="s">
        <v>28</v>
      </c>
      <c r="R221" t="s">
        <v>549</v>
      </c>
      <c r="S221" t="s">
        <v>19</v>
      </c>
    </row>
    <row r="222" spans="1:19" x14ac:dyDescent="0.35">
      <c r="A222">
        <v>144</v>
      </c>
      <c r="B222" t="s">
        <v>190</v>
      </c>
      <c r="C222" t="s">
        <v>17</v>
      </c>
      <c r="D222" t="s">
        <v>64</v>
      </c>
      <c r="E222" s="9">
        <v>45456</v>
      </c>
      <c r="F222" s="9">
        <v>45461</v>
      </c>
      <c r="G222" s="4" t="str">
        <f>TEXT(Work[[#This Row],[Delivered Date]],"mmm")</f>
        <v>Jun</v>
      </c>
      <c r="H222" s="16">
        <f>MONTH(Work[[#This Row],[Delivered Date]])</f>
        <v>6</v>
      </c>
      <c r="I222" s="1" t="str">
        <f>TEXT(Work[[#This Row],[Delivered Date]],"ddd")</f>
        <v>Tue</v>
      </c>
      <c r="J222" s="4">
        <f>_xlfn.XLOOKUP(Work[[#This Row],[Product Name]],Cost[Product Name],Cost[Cost Percentage],"NA")</f>
        <v>0.5</v>
      </c>
      <c r="K222" s="3">
        <v>497</v>
      </c>
      <c r="L222" s="3">
        <f>Work[[#This Row],[Unit Price]]*Work[[#This Row],[Quantity]]</f>
        <v>4970</v>
      </c>
      <c r="M222" s="3">
        <f>Work[[#This Row],[Revenue]]*Work[[#This Row],[cost percentage]]</f>
        <v>2485</v>
      </c>
      <c r="N222" s="3">
        <f>Work[[#This Row],[Revenue]]-Work[[#This Row],[Cost]]</f>
        <v>2485</v>
      </c>
      <c r="O222">
        <v>10</v>
      </c>
      <c r="P222" s="6">
        <f>Work[[#This Row],[Delivered Date]]-Work[[#This Row],[Order Date]]</f>
        <v>5</v>
      </c>
      <c r="Q222" t="s">
        <v>14</v>
      </c>
      <c r="R222" t="s">
        <v>33</v>
      </c>
      <c r="S222" t="s">
        <v>46</v>
      </c>
    </row>
    <row r="223" spans="1:19" x14ac:dyDescent="0.35">
      <c r="A223">
        <v>155</v>
      </c>
      <c r="B223" t="s">
        <v>201</v>
      </c>
      <c r="C223" t="s">
        <v>21</v>
      </c>
      <c r="D223" t="s">
        <v>40</v>
      </c>
      <c r="E223" s="9">
        <v>45438</v>
      </c>
      <c r="F223" s="9">
        <v>45452</v>
      </c>
      <c r="G223" s="4" t="str">
        <f>TEXT(Work[[#This Row],[Delivered Date]],"mmm")</f>
        <v>Jun</v>
      </c>
      <c r="H223" s="16">
        <f>MONTH(Work[[#This Row],[Delivered Date]])</f>
        <v>6</v>
      </c>
      <c r="I223" s="1" t="str">
        <f>TEXT(Work[[#This Row],[Delivered Date]],"ddd")</f>
        <v>Sun</v>
      </c>
      <c r="J223" s="4">
        <f>_xlfn.XLOOKUP(Work[[#This Row],[Product Name]],Cost[Product Name],Cost[Cost Percentage],"NA")</f>
        <v>0.65</v>
      </c>
      <c r="K223" s="3">
        <v>722</v>
      </c>
      <c r="L223" s="3">
        <f>Work[[#This Row],[Unit Price]]*Work[[#This Row],[Quantity]]</f>
        <v>5776</v>
      </c>
      <c r="M223" s="3">
        <f>Work[[#This Row],[Revenue]]*Work[[#This Row],[cost percentage]]</f>
        <v>3754.4</v>
      </c>
      <c r="N223" s="3">
        <f>Work[[#This Row],[Revenue]]-Work[[#This Row],[Cost]]</f>
        <v>2021.6</v>
      </c>
      <c r="O223">
        <v>8</v>
      </c>
      <c r="P223" s="6">
        <f>Work[[#This Row],[Delivered Date]]-Work[[#This Row],[Order Date]]</f>
        <v>14</v>
      </c>
      <c r="Q223" t="s">
        <v>28</v>
      </c>
      <c r="R223" t="s">
        <v>549</v>
      </c>
      <c r="S223" t="s">
        <v>29</v>
      </c>
    </row>
    <row r="224" spans="1:19" x14ac:dyDescent="0.35">
      <c r="A224">
        <v>157</v>
      </c>
      <c r="B224" t="s">
        <v>203</v>
      </c>
      <c r="C224" t="s">
        <v>21</v>
      </c>
      <c r="D224" t="s">
        <v>54</v>
      </c>
      <c r="E224" s="9">
        <v>45441</v>
      </c>
      <c r="F224" s="9">
        <v>45446</v>
      </c>
      <c r="G224" s="4" t="str">
        <f>TEXT(Work[[#This Row],[Delivered Date]],"mmm")</f>
        <v>Jun</v>
      </c>
      <c r="H224" s="16">
        <f>MONTH(Work[[#This Row],[Delivered Date]])</f>
        <v>6</v>
      </c>
      <c r="I224" s="1" t="str">
        <f>TEXT(Work[[#This Row],[Delivered Date]],"ddd")</f>
        <v>Mon</v>
      </c>
      <c r="J224" s="4">
        <f>_xlfn.XLOOKUP(Work[[#This Row],[Product Name]],Cost[Product Name],Cost[Cost Percentage],"NA")</f>
        <v>0.7</v>
      </c>
      <c r="K224" s="3">
        <v>11</v>
      </c>
      <c r="L224" s="3">
        <f>Work[[#This Row],[Unit Price]]*Work[[#This Row],[Quantity]]</f>
        <v>77</v>
      </c>
      <c r="M224" s="3">
        <f>Work[[#This Row],[Revenue]]*Work[[#This Row],[cost percentage]]</f>
        <v>53.9</v>
      </c>
      <c r="N224" s="3">
        <f>Work[[#This Row],[Revenue]]-Work[[#This Row],[Cost]]</f>
        <v>23.1</v>
      </c>
      <c r="O224">
        <v>7</v>
      </c>
      <c r="P224" s="6">
        <f>Work[[#This Row],[Delivered Date]]-Work[[#This Row],[Order Date]]</f>
        <v>5</v>
      </c>
      <c r="Q224" t="s">
        <v>14</v>
      </c>
      <c r="R224" t="s">
        <v>33</v>
      </c>
      <c r="S224" t="s">
        <v>15</v>
      </c>
    </row>
    <row r="225" spans="1:19" x14ac:dyDescent="0.35">
      <c r="A225">
        <v>163</v>
      </c>
      <c r="B225" t="s">
        <v>209</v>
      </c>
      <c r="C225" t="s">
        <v>12</v>
      </c>
      <c r="D225" t="s">
        <v>58</v>
      </c>
      <c r="E225" s="9">
        <v>45438</v>
      </c>
      <c r="F225" s="9">
        <v>45445</v>
      </c>
      <c r="G225" s="4" t="str">
        <f>TEXT(Work[[#This Row],[Delivered Date]],"mmm")</f>
        <v>Jun</v>
      </c>
      <c r="H225" s="16">
        <f>MONTH(Work[[#This Row],[Delivered Date]])</f>
        <v>6</v>
      </c>
      <c r="I225" s="1" t="str">
        <f>TEXT(Work[[#This Row],[Delivered Date]],"ddd")</f>
        <v>Sun</v>
      </c>
      <c r="J225" s="4">
        <f>_xlfn.XLOOKUP(Work[[#This Row],[Product Name]],Cost[Product Name],Cost[Cost Percentage],"NA")</f>
        <v>0.85</v>
      </c>
      <c r="K225" s="3">
        <v>892</v>
      </c>
      <c r="L225" s="3">
        <f>Work[[#This Row],[Unit Price]]*Work[[#This Row],[Quantity]]</f>
        <v>5352</v>
      </c>
      <c r="M225" s="3">
        <f>Work[[#This Row],[Revenue]]*Work[[#This Row],[cost percentage]]</f>
        <v>4549.2</v>
      </c>
      <c r="N225" s="3">
        <f>Work[[#This Row],[Revenue]]-Work[[#This Row],[Cost]]</f>
        <v>802.80000000000018</v>
      </c>
      <c r="O225">
        <v>6</v>
      </c>
      <c r="P225" s="6">
        <f>Work[[#This Row],[Delivered Date]]-Work[[#This Row],[Order Date]]</f>
        <v>7</v>
      </c>
      <c r="Q225" t="s">
        <v>28</v>
      </c>
      <c r="R225" t="s">
        <v>549</v>
      </c>
      <c r="S225" t="s">
        <v>19</v>
      </c>
    </row>
    <row r="226" spans="1:19" x14ac:dyDescent="0.35">
      <c r="A226">
        <v>178</v>
      </c>
      <c r="B226" t="s">
        <v>224</v>
      </c>
      <c r="C226" t="s">
        <v>24</v>
      </c>
      <c r="D226" t="s">
        <v>100</v>
      </c>
      <c r="E226" s="9">
        <v>45466</v>
      </c>
      <c r="F226" s="9">
        <v>45470</v>
      </c>
      <c r="G226" s="4" t="str">
        <f>TEXT(Work[[#This Row],[Delivered Date]],"mmm")</f>
        <v>Jun</v>
      </c>
      <c r="H226" s="16">
        <f>MONTH(Work[[#This Row],[Delivered Date]])</f>
        <v>6</v>
      </c>
      <c r="I226" s="1" t="str">
        <f>TEXT(Work[[#This Row],[Delivered Date]],"ddd")</f>
        <v>Thu</v>
      </c>
      <c r="J226" s="4">
        <f>_xlfn.XLOOKUP(Work[[#This Row],[Product Name]],Cost[Product Name],Cost[Cost Percentage],"NA")</f>
        <v>0.6</v>
      </c>
      <c r="K226" s="3">
        <v>157</v>
      </c>
      <c r="L226" s="3">
        <f>Work[[#This Row],[Unit Price]]*Work[[#This Row],[Quantity]]</f>
        <v>1570</v>
      </c>
      <c r="M226" s="3">
        <f>Work[[#This Row],[Revenue]]*Work[[#This Row],[cost percentage]]</f>
        <v>942</v>
      </c>
      <c r="N226" s="3">
        <f>Work[[#This Row],[Revenue]]-Work[[#This Row],[Cost]]</f>
        <v>628</v>
      </c>
      <c r="O226">
        <v>10</v>
      </c>
      <c r="P226" s="6">
        <f>Work[[#This Row],[Delivered Date]]-Work[[#This Row],[Order Date]]</f>
        <v>4</v>
      </c>
      <c r="Q226" t="s">
        <v>28</v>
      </c>
      <c r="R226" t="s">
        <v>547</v>
      </c>
      <c r="S226" t="s">
        <v>46</v>
      </c>
    </row>
    <row r="227" spans="1:19" x14ac:dyDescent="0.35">
      <c r="A227">
        <v>184</v>
      </c>
      <c r="B227" t="s">
        <v>230</v>
      </c>
      <c r="C227" t="s">
        <v>24</v>
      </c>
      <c r="D227" t="s">
        <v>70</v>
      </c>
      <c r="E227" s="9">
        <v>45445</v>
      </c>
      <c r="F227" s="9">
        <v>45458</v>
      </c>
      <c r="G227" s="4" t="str">
        <f>TEXT(Work[[#This Row],[Delivered Date]],"mmm")</f>
        <v>Jun</v>
      </c>
      <c r="H227" s="16">
        <f>MONTH(Work[[#This Row],[Delivered Date]])</f>
        <v>6</v>
      </c>
      <c r="I227" s="1" t="str">
        <f>TEXT(Work[[#This Row],[Delivered Date]],"ddd")</f>
        <v>Sat</v>
      </c>
      <c r="J227" s="4">
        <f>_xlfn.XLOOKUP(Work[[#This Row],[Product Name]],Cost[Product Name],Cost[Cost Percentage],"NA")</f>
        <v>0.55000000000000004</v>
      </c>
      <c r="K227" s="3">
        <v>354</v>
      </c>
      <c r="L227" s="3">
        <f>Work[[#This Row],[Unit Price]]*Work[[#This Row],[Quantity]]</f>
        <v>3540</v>
      </c>
      <c r="M227" s="3">
        <f>Work[[#This Row],[Revenue]]*Work[[#This Row],[cost percentage]]</f>
        <v>1947.0000000000002</v>
      </c>
      <c r="N227" s="3">
        <f>Work[[#This Row],[Revenue]]-Work[[#This Row],[Cost]]</f>
        <v>1592.9999999999998</v>
      </c>
      <c r="O227">
        <v>10</v>
      </c>
      <c r="P227" s="6">
        <f>Work[[#This Row],[Delivered Date]]-Work[[#This Row],[Order Date]]</f>
        <v>13</v>
      </c>
      <c r="Q227" t="s">
        <v>28</v>
      </c>
      <c r="R227" t="s">
        <v>33</v>
      </c>
      <c r="S227" t="s">
        <v>46</v>
      </c>
    </row>
    <row r="228" spans="1:19" x14ac:dyDescent="0.35">
      <c r="A228">
        <v>196</v>
      </c>
      <c r="B228" t="s">
        <v>242</v>
      </c>
      <c r="C228" t="s">
        <v>21</v>
      </c>
      <c r="D228" t="s">
        <v>83</v>
      </c>
      <c r="E228" s="9">
        <v>45456</v>
      </c>
      <c r="F228" s="9">
        <v>45460</v>
      </c>
      <c r="G228" s="4" t="str">
        <f>TEXT(Work[[#This Row],[Delivered Date]],"mmm")</f>
        <v>Jun</v>
      </c>
      <c r="H228" s="16">
        <f>MONTH(Work[[#This Row],[Delivered Date]])</f>
        <v>6</v>
      </c>
      <c r="I228" s="1" t="str">
        <f>TEXT(Work[[#This Row],[Delivered Date]],"ddd")</f>
        <v>Mon</v>
      </c>
      <c r="J228" s="4">
        <f>_xlfn.XLOOKUP(Work[[#This Row],[Product Name]],Cost[Product Name],Cost[Cost Percentage],"NA")</f>
        <v>0.8</v>
      </c>
      <c r="K228" s="3">
        <v>671</v>
      </c>
      <c r="L228" s="3">
        <f>Work[[#This Row],[Unit Price]]*Work[[#This Row],[Quantity]]</f>
        <v>3355</v>
      </c>
      <c r="M228" s="3">
        <f>Work[[#This Row],[Revenue]]*Work[[#This Row],[cost percentage]]</f>
        <v>2684</v>
      </c>
      <c r="N228" s="3">
        <f>Work[[#This Row],[Revenue]]-Work[[#This Row],[Cost]]</f>
        <v>671</v>
      </c>
      <c r="O228">
        <v>5</v>
      </c>
      <c r="P228" s="6">
        <f>Work[[#This Row],[Delivered Date]]-Work[[#This Row],[Order Date]]</f>
        <v>4</v>
      </c>
      <c r="Q228" t="s">
        <v>28</v>
      </c>
      <c r="R228" t="s">
        <v>551</v>
      </c>
      <c r="S228" t="s">
        <v>15</v>
      </c>
    </row>
    <row r="229" spans="1:19" x14ac:dyDescent="0.35">
      <c r="A229">
        <v>199</v>
      </c>
      <c r="B229" t="s">
        <v>245</v>
      </c>
      <c r="C229" t="s">
        <v>21</v>
      </c>
      <c r="D229" t="s">
        <v>40</v>
      </c>
      <c r="E229" s="9">
        <v>45461</v>
      </c>
      <c r="F229" s="9">
        <v>45467</v>
      </c>
      <c r="G229" s="4" t="str">
        <f>TEXT(Work[[#This Row],[Delivered Date]],"mmm")</f>
        <v>Jun</v>
      </c>
      <c r="H229" s="16">
        <f>MONTH(Work[[#This Row],[Delivered Date]])</f>
        <v>6</v>
      </c>
      <c r="I229" s="1" t="str">
        <f>TEXT(Work[[#This Row],[Delivered Date]],"ddd")</f>
        <v>Mon</v>
      </c>
      <c r="J229" s="4">
        <f>_xlfn.XLOOKUP(Work[[#This Row],[Product Name]],Cost[Product Name],Cost[Cost Percentage],"NA")</f>
        <v>0.65</v>
      </c>
      <c r="K229" s="3">
        <v>758</v>
      </c>
      <c r="L229" s="3">
        <f>Work[[#This Row],[Unit Price]]*Work[[#This Row],[Quantity]]</f>
        <v>2274</v>
      </c>
      <c r="M229" s="3">
        <f>Work[[#This Row],[Revenue]]*Work[[#This Row],[cost percentage]]</f>
        <v>1478.1000000000001</v>
      </c>
      <c r="N229" s="3">
        <f>Work[[#This Row],[Revenue]]-Work[[#This Row],[Cost]]</f>
        <v>795.89999999999986</v>
      </c>
      <c r="O229">
        <v>3</v>
      </c>
      <c r="P229" s="6">
        <f>Work[[#This Row],[Delivered Date]]-Work[[#This Row],[Order Date]]</f>
        <v>6</v>
      </c>
      <c r="Q229" t="s">
        <v>28</v>
      </c>
      <c r="R229" t="s">
        <v>550</v>
      </c>
      <c r="S229" t="s">
        <v>29</v>
      </c>
    </row>
    <row r="230" spans="1:19" x14ac:dyDescent="0.35">
      <c r="A230">
        <v>200</v>
      </c>
      <c r="B230" t="s">
        <v>246</v>
      </c>
      <c r="C230" t="s">
        <v>21</v>
      </c>
      <c r="D230" t="s">
        <v>40</v>
      </c>
      <c r="E230" s="9">
        <v>45464</v>
      </c>
      <c r="F230" s="9">
        <v>45468</v>
      </c>
      <c r="G230" s="4" t="str">
        <f>TEXT(Work[[#This Row],[Delivered Date]],"mmm")</f>
        <v>Jun</v>
      </c>
      <c r="H230" s="16">
        <f>MONTH(Work[[#This Row],[Delivered Date]])</f>
        <v>6</v>
      </c>
      <c r="I230" s="1" t="str">
        <f>TEXT(Work[[#This Row],[Delivered Date]],"ddd")</f>
        <v>Tue</v>
      </c>
      <c r="J230" s="4">
        <f>_xlfn.XLOOKUP(Work[[#This Row],[Product Name]],Cost[Product Name],Cost[Cost Percentage],"NA")</f>
        <v>0.65</v>
      </c>
      <c r="K230" s="3">
        <v>591</v>
      </c>
      <c r="L230" s="3">
        <f>Work[[#This Row],[Unit Price]]*Work[[#This Row],[Quantity]]</f>
        <v>2955</v>
      </c>
      <c r="M230" s="3">
        <f>Work[[#This Row],[Revenue]]*Work[[#This Row],[cost percentage]]</f>
        <v>1920.75</v>
      </c>
      <c r="N230" s="3">
        <f>Work[[#This Row],[Revenue]]-Work[[#This Row],[Cost]]</f>
        <v>1034.25</v>
      </c>
      <c r="O230">
        <v>5</v>
      </c>
      <c r="P230" s="6">
        <f>Work[[#This Row],[Delivered Date]]-Work[[#This Row],[Order Date]]</f>
        <v>4</v>
      </c>
      <c r="Q230" t="s">
        <v>14</v>
      </c>
      <c r="R230" t="s">
        <v>33</v>
      </c>
      <c r="S230" t="s">
        <v>15</v>
      </c>
    </row>
    <row r="231" spans="1:19" x14ac:dyDescent="0.35">
      <c r="A231">
        <v>204</v>
      </c>
      <c r="B231" t="s">
        <v>250</v>
      </c>
      <c r="C231" t="s">
        <v>12</v>
      </c>
      <c r="D231" t="s">
        <v>27</v>
      </c>
      <c r="E231" s="9">
        <v>45449</v>
      </c>
      <c r="F231" s="9">
        <v>45461</v>
      </c>
      <c r="G231" s="4" t="str">
        <f>TEXT(Work[[#This Row],[Delivered Date]],"mmm")</f>
        <v>Jun</v>
      </c>
      <c r="H231" s="16">
        <f>MONTH(Work[[#This Row],[Delivered Date]])</f>
        <v>6</v>
      </c>
      <c r="I231" s="1" t="str">
        <f>TEXT(Work[[#This Row],[Delivered Date]],"ddd")</f>
        <v>Tue</v>
      </c>
      <c r="J231" s="4">
        <f>_xlfn.XLOOKUP(Work[[#This Row],[Product Name]],Cost[Product Name],Cost[Cost Percentage],"NA")</f>
        <v>0.65</v>
      </c>
      <c r="K231" s="3">
        <v>425</v>
      </c>
      <c r="L231" s="3">
        <f>Work[[#This Row],[Unit Price]]*Work[[#This Row],[Quantity]]</f>
        <v>1275</v>
      </c>
      <c r="M231" s="3">
        <f>Work[[#This Row],[Revenue]]*Work[[#This Row],[cost percentage]]</f>
        <v>828.75</v>
      </c>
      <c r="N231" s="3">
        <f>Work[[#This Row],[Revenue]]-Work[[#This Row],[Cost]]</f>
        <v>446.25</v>
      </c>
      <c r="O231">
        <v>3</v>
      </c>
      <c r="P231" s="6">
        <f>Work[[#This Row],[Delivered Date]]-Work[[#This Row],[Order Date]]</f>
        <v>12</v>
      </c>
      <c r="Q231" t="s">
        <v>28</v>
      </c>
      <c r="R231" t="s">
        <v>33</v>
      </c>
      <c r="S231" t="s">
        <v>46</v>
      </c>
    </row>
    <row r="232" spans="1:19" x14ac:dyDescent="0.35">
      <c r="A232">
        <v>224</v>
      </c>
      <c r="B232" t="s">
        <v>270</v>
      </c>
      <c r="C232" t="s">
        <v>21</v>
      </c>
      <c r="D232" t="s">
        <v>83</v>
      </c>
      <c r="E232" s="9">
        <v>45452</v>
      </c>
      <c r="F232" s="9">
        <v>45462</v>
      </c>
      <c r="G232" s="4" t="str">
        <f>TEXT(Work[[#This Row],[Delivered Date]],"mmm")</f>
        <v>Jun</v>
      </c>
      <c r="H232" s="16">
        <f>MONTH(Work[[#This Row],[Delivered Date]])</f>
        <v>6</v>
      </c>
      <c r="I232" s="1" t="str">
        <f>TEXT(Work[[#This Row],[Delivered Date]],"ddd")</f>
        <v>Wed</v>
      </c>
      <c r="J232" s="4">
        <f>_xlfn.XLOOKUP(Work[[#This Row],[Product Name]],Cost[Product Name],Cost[Cost Percentage],"NA")</f>
        <v>0.8</v>
      </c>
      <c r="K232" s="3">
        <v>56</v>
      </c>
      <c r="L232" s="3">
        <f>Work[[#This Row],[Unit Price]]*Work[[#This Row],[Quantity]]</f>
        <v>392</v>
      </c>
      <c r="M232" s="3">
        <f>Work[[#This Row],[Revenue]]*Work[[#This Row],[cost percentage]]</f>
        <v>313.60000000000002</v>
      </c>
      <c r="N232" s="3">
        <f>Work[[#This Row],[Revenue]]-Work[[#This Row],[Cost]]</f>
        <v>78.399999999999977</v>
      </c>
      <c r="O232">
        <v>7</v>
      </c>
      <c r="P232" s="6">
        <f>Work[[#This Row],[Delivered Date]]-Work[[#This Row],[Order Date]]</f>
        <v>10</v>
      </c>
      <c r="Q232" t="s">
        <v>28</v>
      </c>
      <c r="R232" t="s">
        <v>33</v>
      </c>
      <c r="S232" t="s">
        <v>29</v>
      </c>
    </row>
    <row r="233" spans="1:19" x14ac:dyDescent="0.35">
      <c r="A233">
        <v>234</v>
      </c>
      <c r="B233" t="s">
        <v>280</v>
      </c>
      <c r="C233" t="s">
        <v>21</v>
      </c>
      <c r="D233" t="s">
        <v>54</v>
      </c>
      <c r="E233" s="9">
        <v>45445</v>
      </c>
      <c r="F233" s="9">
        <v>45454</v>
      </c>
      <c r="G233" s="4" t="str">
        <f>TEXT(Work[[#This Row],[Delivered Date]],"mmm")</f>
        <v>Jun</v>
      </c>
      <c r="H233" s="16">
        <f>MONTH(Work[[#This Row],[Delivered Date]])</f>
        <v>6</v>
      </c>
      <c r="I233" s="1" t="str">
        <f>TEXT(Work[[#This Row],[Delivered Date]],"ddd")</f>
        <v>Tue</v>
      </c>
      <c r="J233" s="4">
        <f>_xlfn.XLOOKUP(Work[[#This Row],[Product Name]],Cost[Product Name],Cost[Cost Percentage],"NA")</f>
        <v>0.7</v>
      </c>
      <c r="K233" s="3">
        <v>679</v>
      </c>
      <c r="L233" s="3">
        <f>Work[[#This Row],[Unit Price]]*Work[[#This Row],[Quantity]]</f>
        <v>1358</v>
      </c>
      <c r="M233" s="3">
        <f>Work[[#This Row],[Revenue]]*Work[[#This Row],[cost percentage]]</f>
        <v>950.59999999999991</v>
      </c>
      <c r="N233" s="3">
        <f>Work[[#This Row],[Revenue]]-Work[[#This Row],[Cost]]</f>
        <v>407.40000000000009</v>
      </c>
      <c r="O233">
        <v>2</v>
      </c>
      <c r="P233" s="6">
        <f>Work[[#This Row],[Delivered Date]]-Work[[#This Row],[Order Date]]</f>
        <v>9</v>
      </c>
      <c r="Q233" t="s">
        <v>14</v>
      </c>
      <c r="R233" t="s">
        <v>549</v>
      </c>
      <c r="S233" t="s">
        <v>15</v>
      </c>
    </row>
    <row r="234" spans="1:19" x14ac:dyDescent="0.35">
      <c r="A234">
        <v>238</v>
      </c>
      <c r="B234" t="s">
        <v>284</v>
      </c>
      <c r="C234" t="s">
        <v>12</v>
      </c>
      <c r="D234" t="s">
        <v>58</v>
      </c>
      <c r="E234" s="9">
        <v>45453</v>
      </c>
      <c r="F234" s="9">
        <v>45462</v>
      </c>
      <c r="G234" s="4" t="str">
        <f>TEXT(Work[[#This Row],[Delivered Date]],"mmm")</f>
        <v>Jun</v>
      </c>
      <c r="H234" s="16">
        <f>MONTH(Work[[#This Row],[Delivered Date]])</f>
        <v>6</v>
      </c>
      <c r="I234" s="1" t="str">
        <f>TEXT(Work[[#This Row],[Delivered Date]],"ddd")</f>
        <v>Wed</v>
      </c>
      <c r="J234" s="4">
        <f>_xlfn.XLOOKUP(Work[[#This Row],[Product Name]],Cost[Product Name],Cost[Cost Percentage],"NA")</f>
        <v>0.85</v>
      </c>
      <c r="K234" s="3">
        <v>994</v>
      </c>
      <c r="L234" s="3">
        <f>Work[[#This Row],[Unit Price]]*Work[[#This Row],[Quantity]]</f>
        <v>994</v>
      </c>
      <c r="M234" s="3">
        <f>Work[[#This Row],[Revenue]]*Work[[#This Row],[cost percentage]]</f>
        <v>844.9</v>
      </c>
      <c r="N234" s="3">
        <f>Work[[#This Row],[Revenue]]-Work[[#This Row],[Cost]]</f>
        <v>149.10000000000002</v>
      </c>
      <c r="O234">
        <v>1</v>
      </c>
      <c r="P234" s="6">
        <f>Work[[#This Row],[Delivered Date]]-Work[[#This Row],[Order Date]]</f>
        <v>9</v>
      </c>
      <c r="Q234" t="s">
        <v>14</v>
      </c>
      <c r="R234" t="s">
        <v>551</v>
      </c>
      <c r="S234" t="s">
        <v>15</v>
      </c>
    </row>
    <row r="235" spans="1:19" x14ac:dyDescent="0.35">
      <c r="A235">
        <v>253</v>
      </c>
      <c r="B235" t="s">
        <v>299</v>
      </c>
      <c r="C235" t="s">
        <v>12</v>
      </c>
      <c r="D235" t="s">
        <v>13</v>
      </c>
      <c r="E235" s="9">
        <v>45467</v>
      </c>
      <c r="F235" s="9">
        <v>45472</v>
      </c>
      <c r="G235" s="4" t="str">
        <f>TEXT(Work[[#This Row],[Delivered Date]],"mmm")</f>
        <v>Jun</v>
      </c>
      <c r="H235" s="16">
        <f>MONTH(Work[[#This Row],[Delivered Date]])</f>
        <v>6</v>
      </c>
      <c r="I235" s="1" t="str">
        <f>TEXT(Work[[#This Row],[Delivered Date]],"ddd")</f>
        <v>Sat</v>
      </c>
      <c r="J235" s="4">
        <f>_xlfn.XLOOKUP(Work[[#This Row],[Product Name]],Cost[Product Name],Cost[Cost Percentage],"NA")</f>
        <v>0.75</v>
      </c>
      <c r="K235" s="3">
        <v>703</v>
      </c>
      <c r="L235" s="3">
        <f>Work[[#This Row],[Unit Price]]*Work[[#This Row],[Quantity]]</f>
        <v>1406</v>
      </c>
      <c r="M235" s="3">
        <f>Work[[#This Row],[Revenue]]*Work[[#This Row],[cost percentage]]</f>
        <v>1054.5</v>
      </c>
      <c r="N235" s="3">
        <f>Work[[#This Row],[Revenue]]-Work[[#This Row],[Cost]]</f>
        <v>351.5</v>
      </c>
      <c r="O235">
        <v>2</v>
      </c>
      <c r="P235" s="6">
        <f>Work[[#This Row],[Delivered Date]]-Work[[#This Row],[Order Date]]</f>
        <v>5</v>
      </c>
      <c r="Q235" t="s">
        <v>28</v>
      </c>
      <c r="R235" t="s">
        <v>549</v>
      </c>
      <c r="S235" t="s">
        <v>29</v>
      </c>
    </row>
    <row r="236" spans="1:19" x14ac:dyDescent="0.35">
      <c r="A236">
        <v>255</v>
      </c>
      <c r="B236" t="s">
        <v>301</v>
      </c>
      <c r="C236" t="s">
        <v>21</v>
      </c>
      <c r="D236" t="s">
        <v>54</v>
      </c>
      <c r="E236" s="9">
        <v>45434</v>
      </c>
      <c r="F236" s="9">
        <v>45448</v>
      </c>
      <c r="G236" s="4" t="str">
        <f>TEXT(Work[[#This Row],[Delivered Date]],"mmm")</f>
        <v>Jun</v>
      </c>
      <c r="H236" s="16">
        <f>MONTH(Work[[#This Row],[Delivered Date]])</f>
        <v>6</v>
      </c>
      <c r="I236" s="1" t="str">
        <f>TEXT(Work[[#This Row],[Delivered Date]],"ddd")</f>
        <v>Wed</v>
      </c>
      <c r="J236" s="4">
        <f>_xlfn.XLOOKUP(Work[[#This Row],[Product Name]],Cost[Product Name],Cost[Cost Percentage],"NA")</f>
        <v>0.7</v>
      </c>
      <c r="K236" s="3">
        <v>601</v>
      </c>
      <c r="L236" s="3">
        <f>Work[[#This Row],[Unit Price]]*Work[[#This Row],[Quantity]]</f>
        <v>1202</v>
      </c>
      <c r="M236" s="3">
        <f>Work[[#This Row],[Revenue]]*Work[[#This Row],[cost percentage]]</f>
        <v>841.4</v>
      </c>
      <c r="N236" s="3">
        <f>Work[[#This Row],[Revenue]]-Work[[#This Row],[Cost]]</f>
        <v>360.6</v>
      </c>
      <c r="O236">
        <v>2</v>
      </c>
      <c r="P236" s="6">
        <f>Work[[#This Row],[Delivered Date]]-Work[[#This Row],[Order Date]]</f>
        <v>14</v>
      </c>
      <c r="Q236" t="s">
        <v>14</v>
      </c>
      <c r="R236" t="s">
        <v>548</v>
      </c>
      <c r="S236" t="s">
        <v>19</v>
      </c>
    </row>
    <row r="237" spans="1:19" x14ac:dyDescent="0.35">
      <c r="A237">
        <v>271</v>
      </c>
      <c r="B237" t="s">
        <v>317</v>
      </c>
      <c r="C237" t="s">
        <v>24</v>
      </c>
      <c r="D237" t="s">
        <v>25</v>
      </c>
      <c r="E237" s="9">
        <v>45457</v>
      </c>
      <c r="F237" s="9">
        <v>45461</v>
      </c>
      <c r="G237" s="4" t="str">
        <f>TEXT(Work[[#This Row],[Delivered Date]],"mmm")</f>
        <v>Jun</v>
      </c>
      <c r="H237" s="16">
        <f>MONTH(Work[[#This Row],[Delivered Date]])</f>
        <v>6</v>
      </c>
      <c r="I237" s="1" t="str">
        <f>TEXT(Work[[#This Row],[Delivered Date]],"ddd")</f>
        <v>Tue</v>
      </c>
      <c r="J237" s="4">
        <f>_xlfn.XLOOKUP(Work[[#This Row],[Product Name]],Cost[Product Name],Cost[Cost Percentage],"NA")</f>
        <v>0.55000000000000004</v>
      </c>
      <c r="K237" s="3">
        <v>355</v>
      </c>
      <c r="L237" s="3">
        <f>Work[[#This Row],[Unit Price]]*Work[[#This Row],[Quantity]]</f>
        <v>1775</v>
      </c>
      <c r="M237" s="3">
        <f>Work[[#This Row],[Revenue]]*Work[[#This Row],[cost percentage]]</f>
        <v>976.25000000000011</v>
      </c>
      <c r="N237" s="3">
        <f>Work[[#This Row],[Revenue]]-Work[[#This Row],[Cost]]</f>
        <v>798.74999999999989</v>
      </c>
      <c r="O237">
        <v>5</v>
      </c>
      <c r="P237" s="6">
        <f>Work[[#This Row],[Delivered Date]]-Work[[#This Row],[Order Date]]</f>
        <v>4</v>
      </c>
      <c r="Q237" t="s">
        <v>14</v>
      </c>
      <c r="R237" t="s">
        <v>552</v>
      </c>
      <c r="S237" t="s">
        <v>46</v>
      </c>
    </row>
    <row r="238" spans="1:19" x14ac:dyDescent="0.35">
      <c r="A238">
        <v>272</v>
      </c>
      <c r="B238" t="s">
        <v>318</v>
      </c>
      <c r="C238" t="s">
        <v>17</v>
      </c>
      <c r="D238" t="s">
        <v>44</v>
      </c>
      <c r="E238" s="9">
        <v>45467</v>
      </c>
      <c r="F238" s="9">
        <v>45471</v>
      </c>
      <c r="G238" s="4" t="str">
        <f>TEXT(Work[[#This Row],[Delivered Date]],"mmm")</f>
        <v>Jun</v>
      </c>
      <c r="H238" s="16">
        <f>MONTH(Work[[#This Row],[Delivered Date]])</f>
        <v>6</v>
      </c>
      <c r="I238" s="1" t="str">
        <f>TEXT(Work[[#This Row],[Delivered Date]],"ddd")</f>
        <v>Fri</v>
      </c>
      <c r="J238" s="4">
        <f>_xlfn.XLOOKUP(Work[[#This Row],[Product Name]],Cost[Product Name],Cost[Cost Percentage],"NA")</f>
        <v>0.6</v>
      </c>
      <c r="K238" s="3">
        <v>57</v>
      </c>
      <c r="L238" s="3">
        <f>Work[[#This Row],[Unit Price]]*Work[[#This Row],[Quantity]]</f>
        <v>57</v>
      </c>
      <c r="M238" s="3">
        <f>Work[[#This Row],[Revenue]]*Work[[#This Row],[cost percentage]]</f>
        <v>34.199999999999996</v>
      </c>
      <c r="N238" s="3">
        <f>Work[[#This Row],[Revenue]]-Work[[#This Row],[Cost]]</f>
        <v>22.800000000000004</v>
      </c>
      <c r="O238">
        <v>1</v>
      </c>
      <c r="P238" s="6">
        <f>Work[[#This Row],[Delivered Date]]-Work[[#This Row],[Order Date]]</f>
        <v>4</v>
      </c>
      <c r="Q238" t="s">
        <v>14</v>
      </c>
      <c r="R238" t="s">
        <v>548</v>
      </c>
      <c r="S238" t="s">
        <v>29</v>
      </c>
    </row>
    <row r="239" spans="1:19" x14ac:dyDescent="0.35">
      <c r="A239">
        <v>306</v>
      </c>
      <c r="B239" t="s">
        <v>352</v>
      </c>
      <c r="C239" t="s">
        <v>24</v>
      </c>
      <c r="D239" t="s">
        <v>25</v>
      </c>
      <c r="E239" s="9">
        <v>45826</v>
      </c>
      <c r="F239" s="9">
        <v>45836</v>
      </c>
      <c r="G239" s="4" t="str">
        <f>TEXT(Work[[#This Row],[Delivered Date]],"mmm")</f>
        <v>Jun</v>
      </c>
      <c r="H239" s="16">
        <f>MONTH(Work[[#This Row],[Delivered Date]])</f>
        <v>6</v>
      </c>
      <c r="I239" s="1" t="str">
        <f>TEXT(Work[[#This Row],[Delivered Date]],"ddd")</f>
        <v>Sat</v>
      </c>
      <c r="J239" s="4">
        <f>_xlfn.XLOOKUP(Work[[#This Row],[Product Name]],Cost[Product Name],Cost[Cost Percentage],"NA")</f>
        <v>0.55000000000000004</v>
      </c>
      <c r="K239" s="3">
        <v>973</v>
      </c>
      <c r="L239" s="3">
        <f>Work[[#This Row],[Unit Price]]*Work[[#This Row],[Quantity]]</f>
        <v>5838</v>
      </c>
      <c r="M239" s="3">
        <f>Work[[#This Row],[Revenue]]*Work[[#This Row],[cost percentage]]</f>
        <v>3210.9</v>
      </c>
      <c r="N239" s="3">
        <f>Work[[#This Row],[Revenue]]-Work[[#This Row],[Cost]]</f>
        <v>2627.1</v>
      </c>
      <c r="O239">
        <v>6</v>
      </c>
      <c r="P239" s="6">
        <f>Work[[#This Row],[Delivered Date]]-Work[[#This Row],[Order Date]]</f>
        <v>10</v>
      </c>
      <c r="Q239" t="s">
        <v>14</v>
      </c>
      <c r="R239" t="s">
        <v>549</v>
      </c>
      <c r="S239" t="s">
        <v>15</v>
      </c>
    </row>
    <row r="240" spans="1:19" x14ac:dyDescent="0.35">
      <c r="A240">
        <v>309</v>
      </c>
      <c r="B240" t="s">
        <v>355</v>
      </c>
      <c r="C240" t="s">
        <v>31</v>
      </c>
      <c r="D240" t="s">
        <v>42</v>
      </c>
      <c r="E240" s="9">
        <v>45811</v>
      </c>
      <c r="F240" s="9">
        <v>45819</v>
      </c>
      <c r="G240" s="4" t="str">
        <f>TEXT(Work[[#This Row],[Delivered Date]],"mmm")</f>
        <v>Jun</v>
      </c>
      <c r="H240" s="16">
        <f>MONTH(Work[[#This Row],[Delivered Date]])</f>
        <v>6</v>
      </c>
      <c r="I240" s="1" t="str">
        <f>TEXT(Work[[#This Row],[Delivered Date]],"ddd")</f>
        <v>Wed</v>
      </c>
      <c r="J240" s="4">
        <f>_xlfn.XLOOKUP(Work[[#This Row],[Product Name]],Cost[Product Name],Cost[Cost Percentage],"NA")</f>
        <v>0.65</v>
      </c>
      <c r="K240" s="3">
        <v>692</v>
      </c>
      <c r="L240" s="3">
        <f>Work[[#This Row],[Unit Price]]*Work[[#This Row],[Quantity]]</f>
        <v>6228</v>
      </c>
      <c r="M240" s="3">
        <f>Work[[#This Row],[Revenue]]*Work[[#This Row],[cost percentage]]</f>
        <v>4048.2000000000003</v>
      </c>
      <c r="N240" s="3">
        <f>Work[[#This Row],[Revenue]]-Work[[#This Row],[Cost]]</f>
        <v>2179.7999999999997</v>
      </c>
      <c r="O240">
        <v>9</v>
      </c>
      <c r="P240" s="6">
        <f>Work[[#This Row],[Delivered Date]]-Work[[#This Row],[Order Date]]</f>
        <v>8</v>
      </c>
      <c r="Q240" t="s">
        <v>28</v>
      </c>
      <c r="R240" t="s">
        <v>549</v>
      </c>
      <c r="S240" t="s">
        <v>46</v>
      </c>
    </row>
    <row r="241" spans="1:19" x14ac:dyDescent="0.35">
      <c r="A241">
        <v>310</v>
      </c>
      <c r="B241" t="s">
        <v>356</v>
      </c>
      <c r="C241" t="s">
        <v>17</v>
      </c>
      <c r="D241" t="s">
        <v>44</v>
      </c>
      <c r="E241" s="9">
        <v>45803</v>
      </c>
      <c r="F241" s="9">
        <v>45814</v>
      </c>
      <c r="G241" s="4" t="str">
        <f>TEXT(Work[[#This Row],[Delivered Date]],"mmm")</f>
        <v>Jun</v>
      </c>
      <c r="H241" s="16">
        <f>MONTH(Work[[#This Row],[Delivered Date]])</f>
        <v>6</v>
      </c>
      <c r="I241" s="1" t="str">
        <f>TEXT(Work[[#This Row],[Delivered Date]],"ddd")</f>
        <v>Fri</v>
      </c>
      <c r="J241" s="4">
        <f>_xlfn.XLOOKUP(Work[[#This Row],[Product Name]],Cost[Product Name],Cost[Cost Percentage],"NA")</f>
        <v>0.6</v>
      </c>
      <c r="K241" s="3">
        <v>305</v>
      </c>
      <c r="L241" s="3">
        <f>Work[[#This Row],[Unit Price]]*Work[[#This Row],[Quantity]]</f>
        <v>2135</v>
      </c>
      <c r="M241" s="3">
        <f>Work[[#This Row],[Revenue]]*Work[[#This Row],[cost percentage]]</f>
        <v>1281</v>
      </c>
      <c r="N241" s="3">
        <f>Work[[#This Row],[Revenue]]-Work[[#This Row],[Cost]]</f>
        <v>854</v>
      </c>
      <c r="O241">
        <v>7</v>
      </c>
      <c r="P241" s="6">
        <f>Work[[#This Row],[Delivered Date]]-Work[[#This Row],[Order Date]]</f>
        <v>11</v>
      </c>
      <c r="Q241" t="s">
        <v>28</v>
      </c>
      <c r="R241" t="s">
        <v>33</v>
      </c>
      <c r="S241" t="s">
        <v>15</v>
      </c>
    </row>
    <row r="242" spans="1:19" x14ac:dyDescent="0.35">
      <c r="A242">
        <v>312</v>
      </c>
      <c r="B242" t="s">
        <v>358</v>
      </c>
      <c r="C242" t="s">
        <v>24</v>
      </c>
      <c r="D242" t="s">
        <v>38</v>
      </c>
      <c r="E242" s="9">
        <v>45815</v>
      </c>
      <c r="F242" s="9">
        <v>45819</v>
      </c>
      <c r="G242" s="4" t="str">
        <f>TEXT(Work[[#This Row],[Delivered Date]],"mmm")</f>
        <v>Jun</v>
      </c>
      <c r="H242" s="16">
        <f>MONTH(Work[[#This Row],[Delivered Date]])</f>
        <v>6</v>
      </c>
      <c r="I242" s="1" t="str">
        <f>TEXT(Work[[#This Row],[Delivered Date]],"ddd")</f>
        <v>Wed</v>
      </c>
      <c r="J242" s="4">
        <f>_xlfn.XLOOKUP(Work[[#This Row],[Product Name]],Cost[Product Name],Cost[Cost Percentage],"NA")</f>
        <v>0.5</v>
      </c>
      <c r="K242" s="3">
        <v>329</v>
      </c>
      <c r="L242" s="3">
        <f>Work[[#This Row],[Unit Price]]*Work[[#This Row],[Quantity]]</f>
        <v>2632</v>
      </c>
      <c r="M242" s="3">
        <f>Work[[#This Row],[Revenue]]*Work[[#This Row],[cost percentage]]</f>
        <v>1316</v>
      </c>
      <c r="N242" s="3">
        <f>Work[[#This Row],[Revenue]]-Work[[#This Row],[Cost]]</f>
        <v>1316</v>
      </c>
      <c r="O242">
        <v>8</v>
      </c>
      <c r="P242" s="6">
        <f>Work[[#This Row],[Delivered Date]]-Work[[#This Row],[Order Date]]</f>
        <v>4</v>
      </c>
      <c r="Q242" t="s">
        <v>14</v>
      </c>
      <c r="R242" t="s">
        <v>550</v>
      </c>
      <c r="S242" t="s">
        <v>15</v>
      </c>
    </row>
    <row r="243" spans="1:19" x14ac:dyDescent="0.35">
      <c r="A243">
        <v>319</v>
      </c>
      <c r="B243" t="s">
        <v>365</v>
      </c>
      <c r="C243" t="s">
        <v>24</v>
      </c>
      <c r="D243" t="s">
        <v>38</v>
      </c>
      <c r="E243" s="9">
        <v>45827</v>
      </c>
      <c r="F243" s="9">
        <v>45833</v>
      </c>
      <c r="G243" s="4" t="str">
        <f>TEXT(Work[[#This Row],[Delivered Date]],"mmm")</f>
        <v>Jun</v>
      </c>
      <c r="H243" s="16">
        <f>MONTH(Work[[#This Row],[Delivered Date]])</f>
        <v>6</v>
      </c>
      <c r="I243" s="1" t="str">
        <f>TEXT(Work[[#This Row],[Delivered Date]],"ddd")</f>
        <v>Wed</v>
      </c>
      <c r="J243" s="4">
        <f>_xlfn.XLOOKUP(Work[[#This Row],[Product Name]],Cost[Product Name],Cost[Cost Percentage],"NA")</f>
        <v>0.5</v>
      </c>
      <c r="K243" s="3">
        <v>409</v>
      </c>
      <c r="L243" s="3">
        <f>Work[[#This Row],[Unit Price]]*Work[[#This Row],[Quantity]]</f>
        <v>2863</v>
      </c>
      <c r="M243" s="3">
        <f>Work[[#This Row],[Revenue]]*Work[[#This Row],[cost percentage]]</f>
        <v>1431.5</v>
      </c>
      <c r="N243" s="3">
        <f>Work[[#This Row],[Revenue]]-Work[[#This Row],[Cost]]</f>
        <v>1431.5</v>
      </c>
      <c r="O243">
        <v>7</v>
      </c>
      <c r="P243" s="6">
        <f>Work[[#This Row],[Delivered Date]]-Work[[#This Row],[Order Date]]</f>
        <v>6</v>
      </c>
      <c r="Q243" t="s">
        <v>14</v>
      </c>
      <c r="R243" t="s">
        <v>33</v>
      </c>
      <c r="S243" t="s">
        <v>29</v>
      </c>
    </row>
    <row r="244" spans="1:19" x14ac:dyDescent="0.35">
      <c r="A244">
        <v>343</v>
      </c>
      <c r="B244" t="s">
        <v>389</v>
      </c>
      <c r="C244" t="s">
        <v>24</v>
      </c>
      <c r="D244" t="s">
        <v>25</v>
      </c>
      <c r="E244" s="9">
        <v>45811</v>
      </c>
      <c r="F244" s="9">
        <v>45815</v>
      </c>
      <c r="G244" s="4" t="str">
        <f>TEXT(Work[[#This Row],[Delivered Date]],"mmm")</f>
        <v>Jun</v>
      </c>
      <c r="H244" s="16">
        <f>MONTH(Work[[#This Row],[Delivered Date]])</f>
        <v>6</v>
      </c>
      <c r="I244" s="1" t="str">
        <f>TEXT(Work[[#This Row],[Delivered Date]],"ddd")</f>
        <v>Sat</v>
      </c>
      <c r="J244" s="4">
        <f>_xlfn.XLOOKUP(Work[[#This Row],[Product Name]],Cost[Product Name],Cost[Cost Percentage],"NA")</f>
        <v>0.55000000000000004</v>
      </c>
      <c r="K244" s="3">
        <v>325</v>
      </c>
      <c r="L244" s="3">
        <f>Work[[#This Row],[Unit Price]]*Work[[#This Row],[Quantity]]</f>
        <v>3250</v>
      </c>
      <c r="M244" s="3">
        <f>Work[[#This Row],[Revenue]]*Work[[#This Row],[cost percentage]]</f>
        <v>1787.5000000000002</v>
      </c>
      <c r="N244" s="3">
        <f>Work[[#This Row],[Revenue]]-Work[[#This Row],[Cost]]</f>
        <v>1462.4999999999998</v>
      </c>
      <c r="O244">
        <v>10</v>
      </c>
      <c r="P244" s="6">
        <f>Work[[#This Row],[Delivered Date]]-Work[[#This Row],[Order Date]]</f>
        <v>4</v>
      </c>
      <c r="Q244" t="s">
        <v>28</v>
      </c>
      <c r="R244" t="s">
        <v>33</v>
      </c>
      <c r="S244" t="s">
        <v>46</v>
      </c>
    </row>
    <row r="245" spans="1:19" x14ac:dyDescent="0.35">
      <c r="A245">
        <v>345</v>
      </c>
      <c r="B245" t="s">
        <v>391</v>
      </c>
      <c r="C245" t="s">
        <v>21</v>
      </c>
      <c r="D245" t="s">
        <v>54</v>
      </c>
      <c r="E245" s="9">
        <v>45829</v>
      </c>
      <c r="F245" s="9">
        <v>45836</v>
      </c>
      <c r="G245" s="4" t="str">
        <f>TEXT(Work[[#This Row],[Delivered Date]],"mmm")</f>
        <v>Jun</v>
      </c>
      <c r="H245" s="16">
        <f>MONTH(Work[[#This Row],[Delivered Date]])</f>
        <v>6</v>
      </c>
      <c r="I245" s="1" t="str">
        <f>TEXT(Work[[#This Row],[Delivered Date]],"ddd")</f>
        <v>Sat</v>
      </c>
      <c r="J245" s="4">
        <f>_xlfn.XLOOKUP(Work[[#This Row],[Product Name]],Cost[Product Name],Cost[Cost Percentage],"NA")</f>
        <v>0.7</v>
      </c>
      <c r="K245" s="3">
        <v>236</v>
      </c>
      <c r="L245" s="3">
        <f>Work[[#This Row],[Unit Price]]*Work[[#This Row],[Quantity]]</f>
        <v>472</v>
      </c>
      <c r="M245" s="3">
        <f>Work[[#This Row],[Revenue]]*Work[[#This Row],[cost percentage]]</f>
        <v>330.4</v>
      </c>
      <c r="N245" s="3">
        <f>Work[[#This Row],[Revenue]]-Work[[#This Row],[Cost]]</f>
        <v>141.60000000000002</v>
      </c>
      <c r="O245">
        <v>2</v>
      </c>
      <c r="P245" s="6">
        <f>Work[[#This Row],[Delivered Date]]-Work[[#This Row],[Order Date]]</f>
        <v>7</v>
      </c>
      <c r="Q245" t="s">
        <v>28</v>
      </c>
      <c r="R245" t="s">
        <v>551</v>
      </c>
      <c r="S245" t="s">
        <v>15</v>
      </c>
    </row>
    <row r="246" spans="1:19" x14ac:dyDescent="0.35">
      <c r="A246">
        <v>352</v>
      </c>
      <c r="B246" t="s">
        <v>398</v>
      </c>
      <c r="C246" t="s">
        <v>24</v>
      </c>
      <c r="D246" t="s">
        <v>70</v>
      </c>
      <c r="E246" s="9">
        <v>45810</v>
      </c>
      <c r="F246" s="9">
        <v>45817</v>
      </c>
      <c r="G246" s="4" t="str">
        <f>TEXT(Work[[#This Row],[Delivered Date]],"mmm")</f>
        <v>Jun</v>
      </c>
      <c r="H246" s="16">
        <f>MONTH(Work[[#This Row],[Delivered Date]])</f>
        <v>6</v>
      </c>
      <c r="I246" s="1" t="str">
        <f>TEXT(Work[[#This Row],[Delivered Date]],"ddd")</f>
        <v>Mon</v>
      </c>
      <c r="J246" s="4">
        <f>_xlfn.XLOOKUP(Work[[#This Row],[Product Name]],Cost[Product Name],Cost[Cost Percentage],"NA")</f>
        <v>0.55000000000000004</v>
      </c>
      <c r="K246" s="3">
        <v>974</v>
      </c>
      <c r="L246" s="3">
        <f>Work[[#This Row],[Unit Price]]*Work[[#This Row],[Quantity]]</f>
        <v>5844</v>
      </c>
      <c r="M246" s="3">
        <f>Work[[#This Row],[Revenue]]*Work[[#This Row],[cost percentage]]</f>
        <v>3214.2000000000003</v>
      </c>
      <c r="N246" s="3">
        <f>Work[[#This Row],[Revenue]]-Work[[#This Row],[Cost]]</f>
        <v>2629.7999999999997</v>
      </c>
      <c r="O246">
        <v>6</v>
      </c>
      <c r="P246" s="6">
        <f>Work[[#This Row],[Delivered Date]]-Work[[#This Row],[Order Date]]</f>
        <v>7</v>
      </c>
      <c r="Q246" t="s">
        <v>14</v>
      </c>
      <c r="R246" t="s">
        <v>549</v>
      </c>
      <c r="S246" t="s">
        <v>19</v>
      </c>
    </row>
    <row r="247" spans="1:19" x14ac:dyDescent="0.35">
      <c r="A247">
        <v>364</v>
      </c>
      <c r="B247" t="s">
        <v>410</v>
      </c>
      <c r="C247" t="s">
        <v>17</v>
      </c>
      <c r="D247" t="s">
        <v>18</v>
      </c>
      <c r="E247" s="9">
        <v>45804</v>
      </c>
      <c r="F247" s="9">
        <v>45811</v>
      </c>
      <c r="G247" s="4" t="str">
        <f>TEXT(Work[[#This Row],[Delivered Date]],"mmm")</f>
        <v>Jun</v>
      </c>
      <c r="H247" s="16">
        <f>MONTH(Work[[#This Row],[Delivered Date]])</f>
        <v>6</v>
      </c>
      <c r="I247" s="1" t="str">
        <f>TEXT(Work[[#This Row],[Delivered Date]],"ddd")</f>
        <v>Tue</v>
      </c>
      <c r="J247" s="4">
        <f>_xlfn.XLOOKUP(Work[[#This Row],[Product Name]],Cost[Product Name],Cost[Cost Percentage],"NA")</f>
        <v>0.5</v>
      </c>
      <c r="K247" s="3">
        <v>288</v>
      </c>
      <c r="L247" s="3">
        <f>Work[[#This Row],[Unit Price]]*Work[[#This Row],[Quantity]]</f>
        <v>576</v>
      </c>
      <c r="M247" s="3">
        <f>Work[[#This Row],[Revenue]]*Work[[#This Row],[cost percentage]]</f>
        <v>288</v>
      </c>
      <c r="N247" s="3">
        <f>Work[[#This Row],[Revenue]]-Work[[#This Row],[Cost]]</f>
        <v>288</v>
      </c>
      <c r="O247">
        <v>2</v>
      </c>
      <c r="P247" s="6">
        <f>Work[[#This Row],[Delivered Date]]-Work[[#This Row],[Order Date]]</f>
        <v>7</v>
      </c>
      <c r="Q247" t="s">
        <v>14</v>
      </c>
      <c r="R247" t="s">
        <v>547</v>
      </c>
      <c r="S247" t="s">
        <v>46</v>
      </c>
    </row>
    <row r="248" spans="1:19" x14ac:dyDescent="0.35">
      <c r="A248">
        <v>374</v>
      </c>
      <c r="B248" t="s">
        <v>420</v>
      </c>
      <c r="C248" t="s">
        <v>17</v>
      </c>
      <c r="D248" t="s">
        <v>44</v>
      </c>
      <c r="E248" s="9">
        <v>45821</v>
      </c>
      <c r="F248" s="9">
        <v>45828</v>
      </c>
      <c r="G248" s="4" t="str">
        <f>TEXT(Work[[#This Row],[Delivered Date]],"mmm")</f>
        <v>Jun</v>
      </c>
      <c r="H248" s="16">
        <f>MONTH(Work[[#This Row],[Delivered Date]])</f>
        <v>6</v>
      </c>
      <c r="I248" s="1" t="str">
        <f>TEXT(Work[[#This Row],[Delivered Date]],"ddd")</f>
        <v>Fri</v>
      </c>
      <c r="J248" s="4">
        <f>_xlfn.XLOOKUP(Work[[#This Row],[Product Name]],Cost[Product Name],Cost[Cost Percentage],"NA")</f>
        <v>0.6</v>
      </c>
      <c r="K248" s="3">
        <v>525</v>
      </c>
      <c r="L248" s="3">
        <f>Work[[#This Row],[Unit Price]]*Work[[#This Row],[Quantity]]</f>
        <v>5250</v>
      </c>
      <c r="M248" s="3">
        <f>Work[[#This Row],[Revenue]]*Work[[#This Row],[cost percentage]]</f>
        <v>3150</v>
      </c>
      <c r="N248" s="3">
        <f>Work[[#This Row],[Revenue]]-Work[[#This Row],[Cost]]</f>
        <v>2100</v>
      </c>
      <c r="O248">
        <v>10</v>
      </c>
      <c r="P248" s="6">
        <f>Work[[#This Row],[Delivered Date]]-Work[[#This Row],[Order Date]]</f>
        <v>7</v>
      </c>
      <c r="Q248" t="s">
        <v>28</v>
      </c>
      <c r="R248" t="s">
        <v>549</v>
      </c>
      <c r="S248" t="s">
        <v>46</v>
      </c>
    </row>
    <row r="249" spans="1:19" x14ac:dyDescent="0.35">
      <c r="A249">
        <v>449</v>
      </c>
      <c r="B249" t="s">
        <v>495</v>
      </c>
      <c r="C249" t="s">
        <v>21</v>
      </c>
      <c r="D249" t="s">
        <v>54</v>
      </c>
      <c r="E249" s="9">
        <v>45812</v>
      </c>
      <c r="F249" s="9">
        <v>45818</v>
      </c>
      <c r="G249" s="4" t="str">
        <f>TEXT(Work[[#This Row],[Delivered Date]],"mmm")</f>
        <v>Jun</v>
      </c>
      <c r="H249" s="16">
        <f>MONTH(Work[[#This Row],[Delivered Date]])</f>
        <v>6</v>
      </c>
      <c r="I249" s="1" t="str">
        <f>TEXT(Work[[#This Row],[Delivered Date]],"ddd")</f>
        <v>Tue</v>
      </c>
      <c r="J249" s="4">
        <f>_xlfn.XLOOKUP(Work[[#This Row],[Product Name]],Cost[Product Name],Cost[Cost Percentage],"NA")</f>
        <v>0.7</v>
      </c>
      <c r="K249" s="3">
        <v>723</v>
      </c>
      <c r="L249" s="3">
        <f>Work[[#This Row],[Unit Price]]*Work[[#This Row],[Quantity]]</f>
        <v>2169</v>
      </c>
      <c r="M249" s="3">
        <f>Work[[#This Row],[Revenue]]*Work[[#This Row],[cost percentage]]</f>
        <v>1518.3</v>
      </c>
      <c r="N249" s="3">
        <f>Work[[#This Row],[Revenue]]-Work[[#This Row],[Cost]]</f>
        <v>650.70000000000005</v>
      </c>
      <c r="O249">
        <v>3</v>
      </c>
      <c r="P249" s="6">
        <f>Work[[#This Row],[Delivered Date]]-Work[[#This Row],[Order Date]]</f>
        <v>6</v>
      </c>
      <c r="Q249" t="s">
        <v>14</v>
      </c>
      <c r="R249" t="s">
        <v>551</v>
      </c>
      <c r="S249" t="s">
        <v>46</v>
      </c>
    </row>
    <row r="250" spans="1:19" x14ac:dyDescent="0.35">
      <c r="A250">
        <v>453</v>
      </c>
      <c r="B250" t="s">
        <v>499</v>
      </c>
      <c r="C250" t="s">
        <v>12</v>
      </c>
      <c r="D250" t="s">
        <v>13</v>
      </c>
      <c r="E250" s="9">
        <v>45834</v>
      </c>
      <c r="F250" s="9">
        <v>45838</v>
      </c>
      <c r="G250" s="4" t="str">
        <f>TEXT(Work[[#This Row],[Delivered Date]],"mmm")</f>
        <v>Jun</v>
      </c>
      <c r="H250" s="16">
        <f>MONTH(Work[[#This Row],[Delivered Date]])</f>
        <v>6</v>
      </c>
      <c r="I250" s="1" t="str">
        <f>TEXT(Work[[#This Row],[Delivered Date]],"ddd")</f>
        <v>Mon</v>
      </c>
      <c r="J250" s="4">
        <f>_xlfn.XLOOKUP(Work[[#This Row],[Product Name]],Cost[Product Name],Cost[Cost Percentage],"NA")</f>
        <v>0.75</v>
      </c>
      <c r="K250" s="3">
        <v>934</v>
      </c>
      <c r="L250" s="3">
        <f>Work[[#This Row],[Unit Price]]*Work[[#This Row],[Quantity]]</f>
        <v>934</v>
      </c>
      <c r="M250" s="3">
        <f>Work[[#This Row],[Revenue]]*Work[[#This Row],[cost percentage]]</f>
        <v>700.5</v>
      </c>
      <c r="N250" s="3">
        <f>Work[[#This Row],[Revenue]]-Work[[#This Row],[Cost]]</f>
        <v>233.5</v>
      </c>
      <c r="O250">
        <v>1</v>
      </c>
      <c r="P250" s="6">
        <f>Work[[#This Row],[Delivered Date]]-Work[[#This Row],[Order Date]]</f>
        <v>4</v>
      </c>
      <c r="Q250" t="s">
        <v>14</v>
      </c>
      <c r="R250" t="s">
        <v>33</v>
      </c>
      <c r="S250" t="s">
        <v>15</v>
      </c>
    </row>
    <row r="251" spans="1:19" x14ac:dyDescent="0.35">
      <c r="A251">
        <v>463</v>
      </c>
      <c r="B251" t="s">
        <v>509</v>
      </c>
      <c r="C251" t="s">
        <v>31</v>
      </c>
      <c r="D251" t="s">
        <v>42</v>
      </c>
      <c r="E251" s="9">
        <v>45802</v>
      </c>
      <c r="F251" s="9">
        <v>45814</v>
      </c>
      <c r="G251" s="4" t="str">
        <f>TEXT(Work[[#This Row],[Delivered Date]],"mmm")</f>
        <v>Jun</v>
      </c>
      <c r="H251" s="16">
        <f>MONTH(Work[[#This Row],[Delivered Date]])</f>
        <v>6</v>
      </c>
      <c r="I251" s="1" t="str">
        <f>TEXT(Work[[#This Row],[Delivered Date]],"ddd")</f>
        <v>Fri</v>
      </c>
      <c r="J251" s="4">
        <f>_xlfn.XLOOKUP(Work[[#This Row],[Product Name]],Cost[Product Name],Cost[Cost Percentage],"NA")</f>
        <v>0.65</v>
      </c>
      <c r="K251" s="3">
        <v>164</v>
      </c>
      <c r="L251" s="3">
        <f>Work[[#This Row],[Unit Price]]*Work[[#This Row],[Quantity]]</f>
        <v>1476</v>
      </c>
      <c r="M251" s="3">
        <f>Work[[#This Row],[Revenue]]*Work[[#This Row],[cost percentage]]</f>
        <v>959.4</v>
      </c>
      <c r="N251" s="3">
        <f>Work[[#This Row],[Revenue]]-Work[[#This Row],[Cost]]</f>
        <v>516.6</v>
      </c>
      <c r="O251">
        <v>9</v>
      </c>
      <c r="P251" s="6">
        <f>Work[[#This Row],[Delivered Date]]-Work[[#This Row],[Order Date]]</f>
        <v>12</v>
      </c>
      <c r="Q251" t="s">
        <v>28</v>
      </c>
      <c r="R251" t="s">
        <v>547</v>
      </c>
      <c r="S251" t="s">
        <v>15</v>
      </c>
    </row>
    <row r="252" spans="1:19" x14ac:dyDescent="0.35">
      <c r="A252">
        <v>487</v>
      </c>
      <c r="B252" t="s">
        <v>43</v>
      </c>
      <c r="C252" t="s">
        <v>24</v>
      </c>
      <c r="D252" t="s">
        <v>25</v>
      </c>
      <c r="E252" s="9">
        <v>45814</v>
      </c>
      <c r="F252" s="9">
        <v>45817</v>
      </c>
      <c r="G252" s="4" t="str">
        <f>TEXT(Work[[#This Row],[Delivered Date]],"mmm")</f>
        <v>Jun</v>
      </c>
      <c r="H252" s="16">
        <f>MONTH(Work[[#This Row],[Delivered Date]])</f>
        <v>6</v>
      </c>
      <c r="I252" s="1" t="str">
        <f>TEXT(Work[[#This Row],[Delivered Date]],"ddd")</f>
        <v>Mon</v>
      </c>
      <c r="J252" s="4">
        <f>_xlfn.XLOOKUP(Work[[#This Row],[Product Name]],Cost[Product Name],Cost[Cost Percentage],"NA")</f>
        <v>0.55000000000000004</v>
      </c>
      <c r="K252" s="3">
        <v>615</v>
      </c>
      <c r="L252" s="3">
        <f>Work[[#This Row],[Unit Price]]*Work[[#This Row],[Quantity]]</f>
        <v>3075</v>
      </c>
      <c r="M252" s="3">
        <f>Work[[#This Row],[Revenue]]*Work[[#This Row],[cost percentage]]</f>
        <v>1691.2500000000002</v>
      </c>
      <c r="N252" s="3">
        <f>Work[[#This Row],[Revenue]]-Work[[#This Row],[Cost]]</f>
        <v>1383.7499999999998</v>
      </c>
      <c r="O252">
        <v>5</v>
      </c>
      <c r="P252" s="6">
        <f>Work[[#This Row],[Delivered Date]]-Work[[#This Row],[Order Date]]</f>
        <v>3</v>
      </c>
      <c r="Q252" t="s">
        <v>28</v>
      </c>
      <c r="R252" t="s">
        <v>549</v>
      </c>
      <c r="S252" t="s">
        <v>15</v>
      </c>
    </row>
    <row r="253" spans="1:19" x14ac:dyDescent="0.35">
      <c r="A253">
        <v>510</v>
      </c>
      <c r="B253" t="s">
        <v>75</v>
      </c>
      <c r="C253" t="s">
        <v>21</v>
      </c>
      <c r="D253" t="s">
        <v>54</v>
      </c>
      <c r="E253" s="9">
        <v>45804</v>
      </c>
      <c r="F253" s="9">
        <v>45812</v>
      </c>
      <c r="G253" s="4" t="str">
        <f>TEXT(Work[[#This Row],[Delivered Date]],"mmm")</f>
        <v>Jun</v>
      </c>
      <c r="H253" s="16">
        <f>MONTH(Work[[#This Row],[Delivered Date]])</f>
        <v>6</v>
      </c>
      <c r="I253" s="1" t="str">
        <f>TEXT(Work[[#This Row],[Delivered Date]],"ddd")</f>
        <v>Wed</v>
      </c>
      <c r="J253" s="4">
        <f>_xlfn.XLOOKUP(Work[[#This Row],[Product Name]],Cost[Product Name],Cost[Cost Percentage],"NA")</f>
        <v>0.7</v>
      </c>
      <c r="K253" s="3">
        <v>723</v>
      </c>
      <c r="L253" s="3">
        <f>Work[[#This Row],[Unit Price]]*Work[[#This Row],[Quantity]]</f>
        <v>7230</v>
      </c>
      <c r="M253" s="3">
        <f>Work[[#This Row],[Revenue]]*Work[[#This Row],[cost percentage]]</f>
        <v>5061</v>
      </c>
      <c r="N253" s="3">
        <f>Work[[#This Row],[Revenue]]-Work[[#This Row],[Cost]]</f>
        <v>2169</v>
      </c>
      <c r="O253">
        <v>10</v>
      </c>
      <c r="P253" s="6">
        <f>Work[[#This Row],[Delivered Date]]-Work[[#This Row],[Order Date]]</f>
        <v>8</v>
      </c>
      <c r="Q253" t="s">
        <v>28</v>
      </c>
      <c r="R253" t="s">
        <v>549</v>
      </c>
      <c r="S253" t="s">
        <v>29</v>
      </c>
    </row>
    <row r="254" spans="1:19" x14ac:dyDescent="0.35">
      <c r="A254">
        <v>518</v>
      </c>
      <c r="B254" t="s">
        <v>86</v>
      </c>
      <c r="C254" t="s">
        <v>24</v>
      </c>
      <c r="D254" t="s">
        <v>25</v>
      </c>
      <c r="E254" s="9">
        <v>45822</v>
      </c>
      <c r="F254" s="9">
        <v>45836</v>
      </c>
      <c r="G254" s="4" t="str">
        <f>TEXT(Work[[#This Row],[Delivered Date]],"mmm")</f>
        <v>Jun</v>
      </c>
      <c r="H254" s="16">
        <f>MONTH(Work[[#This Row],[Delivered Date]])</f>
        <v>6</v>
      </c>
      <c r="I254" s="1" t="str">
        <f>TEXT(Work[[#This Row],[Delivered Date]],"ddd")</f>
        <v>Sat</v>
      </c>
      <c r="J254" s="4">
        <f>_xlfn.XLOOKUP(Work[[#This Row],[Product Name]],Cost[Product Name],Cost[Cost Percentage],"NA")</f>
        <v>0.55000000000000004</v>
      </c>
      <c r="K254" s="3">
        <v>218</v>
      </c>
      <c r="L254" s="3">
        <f>Work[[#This Row],[Unit Price]]*Work[[#This Row],[Quantity]]</f>
        <v>1308</v>
      </c>
      <c r="M254" s="3">
        <f>Work[[#This Row],[Revenue]]*Work[[#This Row],[cost percentage]]</f>
        <v>719.40000000000009</v>
      </c>
      <c r="N254" s="3">
        <f>Work[[#This Row],[Revenue]]-Work[[#This Row],[Cost]]</f>
        <v>588.59999999999991</v>
      </c>
      <c r="O254">
        <v>6</v>
      </c>
      <c r="P254" s="6">
        <f>Work[[#This Row],[Delivered Date]]-Work[[#This Row],[Order Date]]</f>
        <v>14</v>
      </c>
      <c r="Q254" t="s">
        <v>28</v>
      </c>
      <c r="R254" t="s">
        <v>33</v>
      </c>
      <c r="S254" t="s">
        <v>15</v>
      </c>
    </row>
    <row r="255" spans="1:19" x14ac:dyDescent="0.35">
      <c r="A255">
        <v>6</v>
      </c>
      <c r="B255" t="s">
        <v>30</v>
      </c>
      <c r="C255" t="s">
        <v>31</v>
      </c>
      <c r="D255" t="s">
        <v>32</v>
      </c>
      <c r="E255" s="9">
        <v>45477</v>
      </c>
      <c r="F255" s="9">
        <v>45483</v>
      </c>
      <c r="G255" s="4" t="str">
        <f>TEXT(Work[[#This Row],[Delivered Date]],"mmm")</f>
        <v>Jul</v>
      </c>
      <c r="H255" s="16">
        <f>MONTH(Work[[#This Row],[Delivered Date]])</f>
        <v>7</v>
      </c>
      <c r="I255" s="1" t="str">
        <f>TEXT(Work[[#This Row],[Delivered Date]],"ddd")</f>
        <v>Wed</v>
      </c>
      <c r="J255" s="4">
        <f>_xlfn.XLOOKUP(Work[[#This Row],[Product Name]],Cost[Product Name],Cost[Cost Percentage],"NA")</f>
        <v>0.75</v>
      </c>
      <c r="K255" s="3">
        <v>206</v>
      </c>
      <c r="L255" s="3">
        <f>Work[[#This Row],[Unit Price]]*Work[[#This Row],[Quantity]]</f>
        <v>2060</v>
      </c>
      <c r="M255" s="3">
        <f>Work[[#This Row],[Revenue]]*Work[[#This Row],[cost percentage]]</f>
        <v>1545</v>
      </c>
      <c r="N255" s="3">
        <f>Work[[#This Row],[Revenue]]-Work[[#This Row],[Cost]]</f>
        <v>515</v>
      </c>
      <c r="O255">
        <v>10</v>
      </c>
      <c r="P255" s="6">
        <f>Work[[#This Row],[Delivered Date]]-Work[[#This Row],[Order Date]]</f>
        <v>6</v>
      </c>
      <c r="Q255" t="s">
        <v>14</v>
      </c>
      <c r="R255" t="s">
        <v>33</v>
      </c>
      <c r="S255" t="s">
        <v>29</v>
      </c>
    </row>
    <row r="256" spans="1:19" x14ac:dyDescent="0.35">
      <c r="A256">
        <v>12</v>
      </c>
      <c r="B256" t="s">
        <v>43</v>
      </c>
      <c r="C256" t="s">
        <v>17</v>
      </c>
      <c r="D256" t="s">
        <v>44</v>
      </c>
      <c r="E256" s="9">
        <v>45477</v>
      </c>
      <c r="F256" s="9">
        <v>45480</v>
      </c>
      <c r="G256" s="4" t="str">
        <f>TEXT(Work[[#This Row],[Delivered Date]],"mmm")</f>
        <v>Jul</v>
      </c>
      <c r="H256" s="16">
        <f>MONTH(Work[[#This Row],[Delivered Date]])</f>
        <v>7</v>
      </c>
      <c r="I256" s="1" t="str">
        <f>TEXT(Work[[#This Row],[Delivered Date]],"ddd")</f>
        <v>Sun</v>
      </c>
      <c r="J256" s="4">
        <f>_xlfn.XLOOKUP(Work[[#This Row],[Product Name]],Cost[Product Name],Cost[Cost Percentage],"NA")</f>
        <v>0.6</v>
      </c>
      <c r="K256" s="3">
        <v>151</v>
      </c>
      <c r="L256" s="3">
        <f>Work[[#This Row],[Unit Price]]*Work[[#This Row],[Quantity]]</f>
        <v>604</v>
      </c>
      <c r="M256" s="3">
        <f>Work[[#This Row],[Revenue]]*Work[[#This Row],[cost percentage]]</f>
        <v>362.4</v>
      </c>
      <c r="N256" s="3">
        <f>Work[[#This Row],[Revenue]]-Work[[#This Row],[Cost]]</f>
        <v>241.60000000000002</v>
      </c>
      <c r="O256">
        <v>4</v>
      </c>
      <c r="P256" s="6">
        <f>Work[[#This Row],[Delivered Date]]-Work[[#This Row],[Order Date]]</f>
        <v>3</v>
      </c>
      <c r="Q256" t="s">
        <v>14</v>
      </c>
      <c r="R256" t="s">
        <v>33</v>
      </c>
      <c r="S256" t="s">
        <v>19</v>
      </c>
    </row>
    <row r="257" spans="1:19" x14ac:dyDescent="0.35">
      <c r="A257">
        <v>14</v>
      </c>
      <c r="B257" t="s">
        <v>47</v>
      </c>
      <c r="C257" t="s">
        <v>12</v>
      </c>
      <c r="D257" t="s">
        <v>27</v>
      </c>
      <c r="E257" s="9">
        <v>45487</v>
      </c>
      <c r="F257" s="9">
        <v>45501</v>
      </c>
      <c r="G257" s="4" t="str">
        <f>TEXT(Work[[#This Row],[Delivered Date]],"mmm")</f>
        <v>Jul</v>
      </c>
      <c r="H257" s="16">
        <f>MONTH(Work[[#This Row],[Delivered Date]])</f>
        <v>7</v>
      </c>
      <c r="I257" s="1" t="str">
        <f>TEXT(Work[[#This Row],[Delivered Date]],"ddd")</f>
        <v>Sun</v>
      </c>
      <c r="J257" s="4">
        <f>_xlfn.XLOOKUP(Work[[#This Row],[Product Name]],Cost[Product Name],Cost[Cost Percentage],"NA")</f>
        <v>0.65</v>
      </c>
      <c r="K257" s="3">
        <v>489</v>
      </c>
      <c r="L257" s="3">
        <f>Work[[#This Row],[Unit Price]]*Work[[#This Row],[Quantity]]</f>
        <v>4890</v>
      </c>
      <c r="M257" s="3">
        <f>Work[[#This Row],[Revenue]]*Work[[#This Row],[cost percentage]]</f>
        <v>3178.5</v>
      </c>
      <c r="N257" s="3">
        <f>Work[[#This Row],[Revenue]]-Work[[#This Row],[Cost]]</f>
        <v>1711.5</v>
      </c>
      <c r="O257">
        <v>10</v>
      </c>
      <c r="P257" s="6">
        <f>Work[[#This Row],[Delivered Date]]-Work[[#This Row],[Order Date]]</f>
        <v>14</v>
      </c>
      <c r="Q257" t="s">
        <v>28</v>
      </c>
      <c r="R257" t="s">
        <v>33</v>
      </c>
      <c r="S257" t="s">
        <v>29</v>
      </c>
    </row>
    <row r="258" spans="1:19" x14ac:dyDescent="0.35">
      <c r="A258">
        <v>18</v>
      </c>
      <c r="B258" t="s">
        <v>53</v>
      </c>
      <c r="C258" t="s">
        <v>21</v>
      </c>
      <c r="D258" t="s">
        <v>54</v>
      </c>
      <c r="E258" s="9">
        <v>45483</v>
      </c>
      <c r="F258" s="9">
        <v>45492</v>
      </c>
      <c r="G258" s="4" t="str">
        <f>TEXT(Work[[#This Row],[Delivered Date]],"mmm")</f>
        <v>Jul</v>
      </c>
      <c r="H258" s="16">
        <f>MONTH(Work[[#This Row],[Delivered Date]])</f>
        <v>7</v>
      </c>
      <c r="I258" s="1" t="str">
        <f>TEXT(Work[[#This Row],[Delivered Date]],"ddd")</f>
        <v>Fri</v>
      </c>
      <c r="J258" s="4">
        <f>_xlfn.XLOOKUP(Work[[#This Row],[Product Name]],Cost[Product Name],Cost[Cost Percentage],"NA")</f>
        <v>0.7</v>
      </c>
      <c r="K258" s="3">
        <v>562</v>
      </c>
      <c r="L258" s="3">
        <f>Work[[#This Row],[Unit Price]]*Work[[#This Row],[Quantity]]</f>
        <v>1686</v>
      </c>
      <c r="M258" s="3">
        <f>Work[[#This Row],[Revenue]]*Work[[#This Row],[cost percentage]]</f>
        <v>1180.1999999999998</v>
      </c>
      <c r="N258" s="3">
        <f>Work[[#This Row],[Revenue]]-Work[[#This Row],[Cost]]</f>
        <v>505.80000000000018</v>
      </c>
      <c r="O258">
        <v>3</v>
      </c>
      <c r="P258" s="6">
        <f>Work[[#This Row],[Delivered Date]]-Work[[#This Row],[Order Date]]</f>
        <v>9</v>
      </c>
      <c r="Q258" t="s">
        <v>14</v>
      </c>
      <c r="R258" t="s">
        <v>549</v>
      </c>
      <c r="S258" t="s">
        <v>46</v>
      </c>
    </row>
    <row r="259" spans="1:19" x14ac:dyDescent="0.35">
      <c r="A259">
        <v>21</v>
      </c>
      <c r="B259" t="s">
        <v>43</v>
      </c>
      <c r="C259" t="s">
        <v>17</v>
      </c>
      <c r="D259" t="s">
        <v>44</v>
      </c>
      <c r="E259" s="9">
        <v>45477</v>
      </c>
      <c r="F259" s="9">
        <v>45480</v>
      </c>
      <c r="G259" s="4" t="str">
        <f>TEXT(Work[[#This Row],[Delivered Date]],"mmm")</f>
        <v>Jul</v>
      </c>
      <c r="H259" s="16">
        <f>MONTH(Work[[#This Row],[Delivered Date]])</f>
        <v>7</v>
      </c>
      <c r="I259" s="1" t="str">
        <f>TEXT(Work[[#This Row],[Delivered Date]],"ddd")</f>
        <v>Sun</v>
      </c>
      <c r="J259" s="4">
        <f>_xlfn.XLOOKUP(Work[[#This Row],[Product Name]],Cost[Product Name],Cost[Cost Percentage],"NA")</f>
        <v>0.6</v>
      </c>
      <c r="K259" s="3">
        <v>151</v>
      </c>
      <c r="L259" s="3">
        <f>Work[[#This Row],[Unit Price]]*Work[[#This Row],[Quantity]]</f>
        <v>604</v>
      </c>
      <c r="M259" s="3">
        <f>Work[[#This Row],[Revenue]]*Work[[#This Row],[cost percentage]]</f>
        <v>362.4</v>
      </c>
      <c r="N259" s="3">
        <f>Work[[#This Row],[Revenue]]-Work[[#This Row],[Cost]]</f>
        <v>241.60000000000002</v>
      </c>
      <c r="O259">
        <v>4</v>
      </c>
      <c r="P259" s="6">
        <f>Work[[#This Row],[Delivered Date]]-Work[[#This Row],[Order Date]]</f>
        <v>3</v>
      </c>
      <c r="Q259" t="s">
        <v>14</v>
      </c>
      <c r="R259" t="s">
        <v>33</v>
      </c>
      <c r="S259" t="s">
        <v>15</v>
      </c>
    </row>
    <row r="260" spans="1:19" x14ac:dyDescent="0.35">
      <c r="A260">
        <v>46</v>
      </c>
      <c r="B260" t="s">
        <v>89</v>
      </c>
      <c r="C260" t="s">
        <v>21</v>
      </c>
      <c r="D260" t="s">
        <v>40</v>
      </c>
      <c r="E260" s="9">
        <v>45487</v>
      </c>
      <c r="F260" s="9">
        <v>45495</v>
      </c>
      <c r="G260" s="4" t="str">
        <f>TEXT(Work[[#This Row],[Delivered Date]],"mmm")</f>
        <v>Jul</v>
      </c>
      <c r="H260" s="16">
        <f>MONTH(Work[[#This Row],[Delivered Date]])</f>
        <v>7</v>
      </c>
      <c r="I260" s="1" t="str">
        <f>TEXT(Work[[#This Row],[Delivered Date]],"ddd")</f>
        <v>Mon</v>
      </c>
      <c r="J260" s="4">
        <f>_xlfn.XLOOKUP(Work[[#This Row],[Product Name]],Cost[Product Name],Cost[Cost Percentage],"NA")</f>
        <v>0.65</v>
      </c>
      <c r="K260" s="3">
        <v>889</v>
      </c>
      <c r="L260" s="3">
        <f>Work[[#This Row],[Unit Price]]*Work[[#This Row],[Quantity]]</f>
        <v>889</v>
      </c>
      <c r="M260" s="3">
        <f>Work[[#This Row],[Revenue]]*Work[[#This Row],[cost percentage]]</f>
        <v>577.85</v>
      </c>
      <c r="N260" s="3">
        <f>Work[[#This Row],[Revenue]]-Work[[#This Row],[Cost]]</f>
        <v>311.14999999999998</v>
      </c>
      <c r="O260">
        <v>1</v>
      </c>
      <c r="P260" s="6">
        <f>Work[[#This Row],[Delivered Date]]-Work[[#This Row],[Order Date]]</f>
        <v>8</v>
      </c>
      <c r="Q260" t="s">
        <v>14</v>
      </c>
      <c r="R260" t="s">
        <v>550</v>
      </c>
      <c r="S260" t="s">
        <v>15</v>
      </c>
    </row>
    <row r="261" spans="1:19" x14ac:dyDescent="0.35">
      <c r="A261">
        <v>54</v>
      </c>
      <c r="B261" t="s">
        <v>98</v>
      </c>
      <c r="C261" t="s">
        <v>24</v>
      </c>
      <c r="D261" t="s">
        <v>38</v>
      </c>
      <c r="E261" s="9">
        <v>45496</v>
      </c>
      <c r="F261" s="9">
        <v>45502</v>
      </c>
      <c r="G261" s="4" t="str">
        <f>TEXT(Work[[#This Row],[Delivered Date]],"mmm")</f>
        <v>Jul</v>
      </c>
      <c r="H261" s="16">
        <f>MONTH(Work[[#This Row],[Delivered Date]])</f>
        <v>7</v>
      </c>
      <c r="I261" s="1" t="str">
        <f>TEXT(Work[[#This Row],[Delivered Date]],"ddd")</f>
        <v>Mon</v>
      </c>
      <c r="J261" s="4">
        <f>_xlfn.XLOOKUP(Work[[#This Row],[Product Name]],Cost[Product Name],Cost[Cost Percentage],"NA")</f>
        <v>0.5</v>
      </c>
      <c r="K261" s="3">
        <v>161</v>
      </c>
      <c r="L261" s="3">
        <f>Work[[#This Row],[Unit Price]]*Work[[#This Row],[Quantity]]</f>
        <v>644</v>
      </c>
      <c r="M261" s="3">
        <f>Work[[#This Row],[Revenue]]*Work[[#This Row],[cost percentage]]</f>
        <v>322</v>
      </c>
      <c r="N261" s="3">
        <f>Work[[#This Row],[Revenue]]-Work[[#This Row],[Cost]]</f>
        <v>322</v>
      </c>
      <c r="O261">
        <v>4</v>
      </c>
      <c r="P261" s="6">
        <f>Work[[#This Row],[Delivered Date]]-Work[[#This Row],[Order Date]]</f>
        <v>6</v>
      </c>
      <c r="Q261" t="s">
        <v>14</v>
      </c>
      <c r="R261" t="s">
        <v>33</v>
      </c>
      <c r="S261" t="s">
        <v>46</v>
      </c>
    </row>
    <row r="262" spans="1:19" x14ac:dyDescent="0.35">
      <c r="A262">
        <v>65</v>
      </c>
      <c r="B262" t="s">
        <v>110</v>
      </c>
      <c r="C262" t="s">
        <v>24</v>
      </c>
      <c r="D262" t="s">
        <v>25</v>
      </c>
      <c r="E262" s="9">
        <v>45480</v>
      </c>
      <c r="F262" s="9">
        <v>45488</v>
      </c>
      <c r="G262" s="4" t="str">
        <f>TEXT(Work[[#This Row],[Delivered Date]],"mmm")</f>
        <v>Jul</v>
      </c>
      <c r="H262" s="16">
        <f>MONTH(Work[[#This Row],[Delivered Date]])</f>
        <v>7</v>
      </c>
      <c r="I262" s="1" t="str">
        <f>TEXT(Work[[#This Row],[Delivered Date]],"ddd")</f>
        <v>Mon</v>
      </c>
      <c r="J262" s="4">
        <f>_xlfn.XLOOKUP(Work[[#This Row],[Product Name]],Cost[Product Name],Cost[Cost Percentage],"NA")</f>
        <v>0.55000000000000004</v>
      </c>
      <c r="K262" s="3">
        <v>630</v>
      </c>
      <c r="L262" s="3">
        <f>Work[[#This Row],[Unit Price]]*Work[[#This Row],[Quantity]]</f>
        <v>1890</v>
      </c>
      <c r="M262" s="3">
        <f>Work[[#This Row],[Revenue]]*Work[[#This Row],[cost percentage]]</f>
        <v>1039.5</v>
      </c>
      <c r="N262" s="3">
        <f>Work[[#This Row],[Revenue]]-Work[[#This Row],[Cost]]</f>
        <v>850.5</v>
      </c>
      <c r="O262">
        <v>3</v>
      </c>
      <c r="P262" s="6">
        <f>Work[[#This Row],[Delivered Date]]-Work[[#This Row],[Order Date]]</f>
        <v>8</v>
      </c>
      <c r="Q262" t="s">
        <v>14</v>
      </c>
      <c r="R262" t="s">
        <v>33</v>
      </c>
      <c r="S262" t="s">
        <v>15</v>
      </c>
    </row>
    <row r="263" spans="1:19" x14ac:dyDescent="0.35">
      <c r="A263">
        <v>73</v>
      </c>
      <c r="B263" t="s">
        <v>119</v>
      </c>
      <c r="C263" t="s">
        <v>17</v>
      </c>
      <c r="D263" t="s">
        <v>56</v>
      </c>
      <c r="E263" s="9">
        <v>45472</v>
      </c>
      <c r="F263" s="9">
        <v>45486</v>
      </c>
      <c r="G263" s="4" t="str">
        <f>TEXT(Work[[#This Row],[Delivered Date]],"mmm")</f>
        <v>Jul</v>
      </c>
      <c r="H263" s="16">
        <f>MONTH(Work[[#This Row],[Delivered Date]])</f>
        <v>7</v>
      </c>
      <c r="I263" s="1" t="str">
        <f>TEXT(Work[[#This Row],[Delivered Date]],"ddd")</f>
        <v>Sat</v>
      </c>
      <c r="J263" s="4">
        <f>_xlfn.XLOOKUP(Work[[#This Row],[Product Name]],Cost[Product Name],Cost[Cost Percentage],"NA")</f>
        <v>0.55000000000000004</v>
      </c>
      <c r="K263" s="3">
        <v>287</v>
      </c>
      <c r="L263" s="3">
        <f>Work[[#This Row],[Unit Price]]*Work[[#This Row],[Quantity]]</f>
        <v>2296</v>
      </c>
      <c r="M263" s="3">
        <f>Work[[#This Row],[Revenue]]*Work[[#This Row],[cost percentage]]</f>
        <v>1262.8000000000002</v>
      </c>
      <c r="N263" s="3">
        <f>Work[[#This Row],[Revenue]]-Work[[#This Row],[Cost]]</f>
        <v>1033.1999999999998</v>
      </c>
      <c r="O263">
        <v>8</v>
      </c>
      <c r="P263" s="6">
        <f>Work[[#This Row],[Delivered Date]]-Work[[#This Row],[Order Date]]</f>
        <v>14</v>
      </c>
      <c r="Q263" t="s">
        <v>14</v>
      </c>
      <c r="R263" t="s">
        <v>547</v>
      </c>
      <c r="S263" t="s">
        <v>29</v>
      </c>
    </row>
    <row r="264" spans="1:19" x14ac:dyDescent="0.35">
      <c r="A264">
        <v>110</v>
      </c>
      <c r="B264" t="s">
        <v>156</v>
      </c>
      <c r="C264" t="s">
        <v>24</v>
      </c>
      <c r="D264" t="s">
        <v>100</v>
      </c>
      <c r="E264" s="9">
        <v>45477</v>
      </c>
      <c r="F264" s="9">
        <v>45484</v>
      </c>
      <c r="G264" s="4" t="str">
        <f>TEXT(Work[[#This Row],[Delivered Date]],"mmm")</f>
        <v>Jul</v>
      </c>
      <c r="H264" s="16">
        <f>MONTH(Work[[#This Row],[Delivered Date]])</f>
        <v>7</v>
      </c>
      <c r="I264" s="1" t="str">
        <f>TEXT(Work[[#This Row],[Delivered Date]],"ddd")</f>
        <v>Thu</v>
      </c>
      <c r="J264" s="4">
        <f>_xlfn.XLOOKUP(Work[[#This Row],[Product Name]],Cost[Product Name],Cost[Cost Percentage],"NA")</f>
        <v>0.6</v>
      </c>
      <c r="K264" s="3">
        <v>712</v>
      </c>
      <c r="L264" s="3">
        <f>Work[[#This Row],[Unit Price]]*Work[[#This Row],[Quantity]]</f>
        <v>1424</v>
      </c>
      <c r="M264" s="3">
        <f>Work[[#This Row],[Revenue]]*Work[[#This Row],[cost percentage]]</f>
        <v>854.4</v>
      </c>
      <c r="N264" s="3">
        <f>Work[[#This Row],[Revenue]]-Work[[#This Row],[Cost]]</f>
        <v>569.6</v>
      </c>
      <c r="O264">
        <v>2</v>
      </c>
      <c r="P264" s="6">
        <f>Work[[#This Row],[Delivered Date]]-Work[[#This Row],[Order Date]]</f>
        <v>7</v>
      </c>
      <c r="Q264" t="s">
        <v>28</v>
      </c>
      <c r="R264" t="s">
        <v>547</v>
      </c>
      <c r="S264" t="s">
        <v>15</v>
      </c>
    </row>
    <row r="265" spans="1:19" x14ac:dyDescent="0.35">
      <c r="A265">
        <v>111</v>
      </c>
      <c r="B265" t="s">
        <v>157</v>
      </c>
      <c r="C265" t="s">
        <v>31</v>
      </c>
      <c r="D265" t="s">
        <v>76</v>
      </c>
      <c r="E265" s="9">
        <v>45495</v>
      </c>
      <c r="F265" s="9">
        <v>45499</v>
      </c>
      <c r="G265" s="4" t="str">
        <f>TEXT(Work[[#This Row],[Delivered Date]],"mmm")</f>
        <v>Jul</v>
      </c>
      <c r="H265" s="16">
        <f>MONTH(Work[[#This Row],[Delivered Date]])</f>
        <v>7</v>
      </c>
      <c r="I265" s="1" t="str">
        <f>TEXT(Work[[#This Row],[Delivered Date]],"ddd")</f>
        <v>Fri</v>
      </c>
      <c r="J265" s="4">
        <f>_xlfn.XLOOKUP(Work[[#This Row],[Product Name]],Cost[Product Name],Cost[Cost Percentage],"NA")</f>
        <v>0.75</v>
      </c>
      <c r="K265" s="3">
        <v>204</v>
      </c>
      <c r="L265" s="3">
        <f>Work[[#This Row],[Unit Price]]*Work[[#This Row],[Quantity]]</f>
        <v>1020</v>
      </c>
      <c r="M265" s="3">
        <f>Work[[#This Row],[Revenue]]*Work[[#This Row],[cost percentage]]</f>
        <v>765</v>
      </c>
      <c r="N265" s="3">
        <f>Work[[#This Row],[Revenue]]-Work[[#This Row],[Cost]]</f>
        <v>255</v>
      </c>
      <c r="O265">
        <v>5</v>
      </c>
      <c r="P265" s="6">
        <f>Work[[#This Row],[Delivered Date]]-Work[[#This Row],[Order Date]]</f>
        <v>4</v>
      </c>
      <c r="Q265" t="s">
        <v>14</v>
      </c>
      <c r="R265" t="s">
        <v>551</v>
      </c>
      <c r="S265" t="s">
        <v>46</v>
      </c>
    </row>
    <row r="266" spans="1:19" x14ac:dyDescent="0.35">
      <c r="A266">
        <v>123</v>
      </c>
      <c r="B266" t="s">
        <v>169</v>
      </c>
      <c r="C266" t="s">
        <v>24</v>
      </c>
      <c r="D266" t="s">
        <v>115</v>
      </c>
      <c r="E266" s="9">
        <v>45482</v>
      </c>
      <c r="F266" s="9">
        <v>45486</v>
      </c>
      <c r="G266" s="4" t="str">
        <f>TEXT(Work[[#This Row],[Delivered Date]],"mmm")</f>
        <v>Jul</v>
      </c>
      <c r="H266" s="16">
        <f>MONTH(Work[[#This Row],[Delivered Date]])</f>
        <v>7</v>
      </c>
      <c r="I266" s="1" t="str">
        <f>TEXT(Work[[#This Row],[Delivered Date]],"ddd")</f>
        <v>Sat</v>
      </c>
      <c r="J266" s="4">
        <f>_xlfn.XLOOKUP(Work[[#This Row],[Product Name]],Cost[Product Name],Cost[Cost Percentage],"NA")</f>
        <v>0.6</v>
      </c>
      <c r="K266" s="3">
        <v>579</v>
      </c>
      <c r="L266" s="3">
        <f>Work[[#This Row],[Unit Price]]*Work[[#This Row],[Quantity]]</f>
        <v>1737</v>
      </c>
      <c r="M266" s="3">
        <f>Work[[#This Row],[Revenue]]*Work[[#This Row],[cost percentage]]</f>
        <v>1042.2</v>
      </c>
      <c r="N266" s="3">
        <f>Work[[#This Row],[Revenue]]-Work[[#This Row],[Cost]]</f>
        <v>694.8</v>
      </c>
      <c r="O266">
        <v>3</v>
      </c>
      <c r="P266" s="6">
        <f>Work[[#This Row],[Delivered Date]]-Work[[#This Row],[Order Date]]</f>
        <v>4</v>
      </c>
      <c r="Q266" t="s">
        <v>28</v>
      </c>
      <c r="R266" t="s">
        <v>551</v>
      </c>
      <c r="S266" t="s">
        <v>19</v>
      </c>
    </row>
    <row r="267" spans="1:19" x14ac:dyDescent="0.35">
      <c r="A267">
        <v>137</v>
      </c>
      <c r="B267" t="s">
        <v>183</v>
      </c>
      <c r="C267" t="s">
        <v>17</v>
      </c>
      <c r="D267" t="s">
        <v>64</v>
      </c>
      <c r="E267" s="9">
        <v>45470</v>
      </c>
      <c r="F267" s="9">
        <v>45478</v>
      </c>
      <c r="G267" s="4" t="str">
        <f>TEXT(Work[[#This Row],[Delivered Date]],"mmm")</f>
        <v>Jul</v>
      </c>
      <c r="H267" s="16">
        <f>MONTH(Work[[#This Row],[Delivered Date]])</f>
        <v>7</v>
      </c>
      <c r="I267" s="1" t="str">
        <f>TEXT(Work[[#This Row],[Delivered Date]],"ddd")</f>
        <v>Fri</v>
      </c>
      <c r="J267" s="4">
        <f>_xlfn.XLOOKUP(Work[[#This Row],[Product Name]],Cost[Product Name],Cost[Cost Percentage],"NA")</f>
        <v>0.5</v>
      </c>
      <c r="K267" s="3">
        <v>754</v>
      </c>
      <c r="L267" s="3">
        <f>Work[[#This Row],[Unit Price]]*Work[[#This Row],[Quantity]]</f>
        <v>4524</v>
      </c>
      <c r="M267" s="3">
        <f>Work[[#This Row],[Revenue]]*Work[[#This Row],[cost percentage]]</f>
        <v>2262</v>
      </c>
      <c r="N267" s="3">
        <f>Work[[#This Row],[Revenue]]-Work[[#This Row],[Cost]]</f>
        <v>2262</v>
      </c>
      <c r="O267">
        <v>6</v>
      </c>
      <c r="P267" s="6">
        <f>Work[[#This Row],[Delivered Date]]-Work[[#This Row],[Order Date]]</f>
        <v>8</v>
      </c>
      <c r="Q267" t="s">
        <v>14</v>
      </c>
      <c r="R267" t="s">
        <v>549</v>
      </c>
      <c r="S267" t="s">
        <v>15</v>
      </c>
    </row>
    <row r="268" spans="1:19" x14ac:dyDescent="0.35">
      <c r="A268">
        <v>145</v>
      </c>
      <c r="B268" t="s">
        <v>191</v>
      </c>
      <c r="C268" t="s">
        <v>24</v>
      </c>
      <c r="D268" t="s">
        <v>115</v>
      </c>
      <c r="E268" s="9">
        <v>45467</v>
      </c>
      <c r="F268" s="9">
        <v>45476</v>
      </c>
      <c r="G268" s="4" t="str">
        <f>TEXT(Work[[#This Row],[Delivered Date]],"mmm")</f>
        <v>Jul</v>
      </c>
      <c r="H268" s="16">
        <f>MONTH(Work[[#This Row],[Delivered Date]])</f>
        <v>7</v>
      </c>
      <c r="I268" s="1" t="str">
        <f>TEXT(Work[[#This Row],[Delivered Date]],"ddd")</f>
        <v>Wed</v>
      </c>
      <c r="J268" s="4">
        <f>_xlfn.XLOOKUP(Work[[#This Row],[Product Name]],Cost[Product Name],Cost[Cost Percentage],"NA")</f>
        <v>0.6</v>
      </c>
      <c r="K268" s="3">
        <v>526</v>
      </c>
      <c r="L268" s="3">
        <f>Work[[#This Row],[Unit Price]]*Work[[#This Row],[Quantity]]</f>
        <v>1052</v>
      </c>
      <c r="M268" s="3">
        <f>Work[[#This Row],[Revenue]]*Work[[#This Row],[cost percentage]]</f>
        <v>631.19999999999993</v>
      </c>
      <c r="N268" s="3">
        <f>Work[[#This Row],[Revenue]]-Work[[#This Row],[Cost]]</f>
        <v>420.80000000000007</v>
      </c>
      <c r="O268">
        <v>2</v>
      </c>
      <c r="P268" s="6">
        <f>Work[[#This Row],[Delivered Date]]-Work[[#This Row],[Order Date]]</f>
        <v>9</v>
      </c>
      <c r="Q268" t="s">
        <v>14</v>
      </c>
      <c r="R268" t="s">
        <v>33</v>
      </c>
      <c r="S268" t="s">
        <v>29</v>
      </c>
    </row>
    <row r="269" spans="1:19" x14ac:dyDescent="0.35">
      <c r="A269">
        <v>146</v>
      </c>
      <c r="B269" t="s">
        <v>192</v>
      </c>
      <c r="C269" t="s">
        <v>31</v>
      </c>
      <c r="D269" t="s">
        <v>79</v>
      </c>
      <c r="E269" s="9">
        <v>45490</v>
      </c>
      <c r="F269" s="9">
        <v>45504</v>
      </c>
      <c r="G269" s="4" t="str">
        <f>TEXT(Work[[#This Row],[Delivered Date]],"mmm")</f>
        <v>Jul</v>
      </c>
      <c r="H269" s="16">
        <f>MONTH(Work[[#This Row],[Delivered Date]])</f>
        <v>7</v>
      </c>
      <c r="I269" s="1" t="str">
        <f>TEXT(Work[[#This Row],[Delivered Date]],"ddd")</f>
        <v>Wed</v>
      </c>
      <c r="J269" s="4">
        <f>_xlfn.XLOOKUP(Work[[#This Row],[Product Name]],Cost[Product Name],Cost[Cost Percentage],"NA")</f>
        <v>0.65</v>
      </c>
      <c r="K269" s="3">
        <v>803</v>
      </c>
      <c r="L269" s="3">
        <f>Work[[#This Row],[Unit Price]]*Work[[#This Row],[Quantity]]</f>
        <v>5621</v>
      </c>
      <c r="M269" s="3">
        <f>Work[[#This Row],[Revenue]]*Work[[#This Row],[cost percentage]]</f>
        <v>3653.65</v>
      </c>
      <c r="N269" s="3">
        <f>Work[[#This Row],[Revenue]]-Work[[#This Row],[Cost]]</f>
        <v>1967.35</v>
      </c>
      <c r="O269">
        <v>7</v>
      </c>
      <c r="P269" s="6">
        <f>Work[[#This Row],[Delivered Date]]-Work[[#This Row],[Order Date]]</f>
        <v>14</v>
      </c>
      <c r="Q269" t="s">
        <v>14</v>
      </c>
      <c r="R269" t="s">
        <v>547</v>
      </c>
      <c r="S269" t="s">
        <v>15</v>
      </c>
    </row>
    <row r="270" spans="1:19" x14ac:dyDescent="0.35">
      <c r="A270">
        <v>170</v>
      </c>
      <c r="B270" t="s">
        <v>216</v>
      </c>
      <c r="C270" t="s">
        <v>21</v>
      </c>
      <c r="D270" t="s">
        <v>54</v>
      </c>
      <c r="E270" s="9">
        <v>45477</v>
      </c>
      <c r="F270" s="9">
        <v>45490</v>
      </c>
      <c r="G270" s="4" t="str">
        <f>TEXT(Work[[#This Row],[Delivered Date]],"mmm")</f>
        <v>Jul</v>
      </c>
      <c r="H270" s="16">
        <f>MONTH(Work[[#This Row],[Delivered Date]])</f>
        <v>7</v>
      </c>
      <c r="I270" s="1" t="str">
        <f>TEXT(Work[[#This Row],[Delivered Date]],"ddd")</f>
        <v>Wed</v>
      </c>
      <c r="J270" s="4">
        <f>_xlfn.XLOOKUP(Work[[#This Row],[Product Name]],Cost[Product Name],Cost[Cost Percentage],"NA")</f>
        <v>0.7</v>
      </c>
      <c r="K270" s="3">
        <v>239</v>
      </c>
      <c r="L270" s="3">
        <f>Work[[#This Row],[Unit Price]]*Work[[#This Row],[Quantity]]</f>
        <v>2151</v>
      </c>
      <c r="M270" s="3">
        <f>Work[[#This Row],[Revenue]]*Work[[#This Row],[cost percentage]]</f>
        <v>1505.6999999999998</v>
      </c>
      <c r="N270" s="3">
        <f>Work[[#This Row],[Revenue]]-Work[[#This Row],[Cost]]</f>
        <v>645.30000000000018</v>
      </c>
      <c r="O270">
        <v>9</v>
      </c>
      <c r="P270" s="6">
        <f>Work[[#This Row],[Delivered Date]]-Work[[#This Row],[Order Date]]</f>
        <v>13</v>
      </c>
      <c r="Q270" t="s">
        <v>14</v>
      </c>
      <c r="R270" t="s">
        <v>551</v>
      </c>
      <c r="S270" t="s">
        <v>29</v>
      </c>
    </row>
    <row r="271" spans="1:19" x14ac:dyDescent="0.35">
      <c r="A271">
        <v>180</v>
      </c>
      <c r="B271" t="s">
        <v>226</v>
      </c>
      <c r="C271" t="s">
        <v>21</v>
      </c>
      <c r="D271" t="s">
        <v>83</v>
      </c>
      <c r="E271" s="9">
        <v>45479</v>
      </c>
      <c r="F271" s="9">
        <v>45489</v>
      </c>
      <c r="G271" s="4" t="str">
        <f>TEXT(Work[[#This Row],[Delivered Date]],"mmm")</f>
        <v>Jul</v>
      </c>
      <c r="H271" s="16">
        <f>MONTH(Work[[#This Row],[Delivered Date]])</f>
        <v>7</v>
      </c>
      <c r="I271" s="1" t="str">
        <f>TEXT(Work[[#This Row],[Delivered Date]],"ddd")</f>
        <v>Tue</v>
      </c>
      <c r="J271" s="4">
        <f>_xlfn.XLOOKUP(Work[[#This Row],[Product Name]],Cost[Product Name],Cost[Cost Percentage],"NA")</f>
        <v>0.8</v>
      </c>
      <c r="K271" s="3">
        <v>384</v>
      </c>
      <c r="L271" s="3">
        <f>Work[[#This Row],[Unit Price]]*Work[[#This Row],[Quantity]]</f>
        <v>2688</v>
      </c>
      <c r="M271" s="3">
        <f>Work[[#This Row],[Revenue]]*Work[[#This Row],[cost percentage]]</f>
        <v>2150.4</v>
      </c>
      <c r="N271" s="3">
        <f>Work[[#This Row],[Revenue]]-Work[[#This Row],[Cost]]</f>
        <v>537.59999999999991</v>
      </c>
      <c r="O271">
        <v>7</v>
      </c>
      <c r="P271" s="6">
        <f>Work[[#This Row],[Delivered Date]]-Work[[#This Row],[Order Date]]</f>
        <v>10</v>
      </c>
      <c r="Q271" t="s">
        <v>14</v>
      </c>
      <c r="R271" t="s">
        <v>551</v>
      </c>
      <c r="S271" t="s">
        <v>15</v>
      </c>
    </row>
    <row r="272" spans="1:19" x14ac:dyDescent="0.35">
      <c r="A272">
        <v>211</v>
      </c>
      <c r="B272" t="s">
        <v>257</v>
      </c>
      <c r="C272" t="s">
        <v>24</v>
      </c>
      <c r="D272" t="s">
        <v>38</v>
      </c>
      <c r="E272" s="9">
        <v>45485</v>
      </c>
      <c r="F272" s="9">
        <v>45490</v>
      </c>
      <c r="G272" s="4" t="str">
        <f>TEXT(Work[[#This Row],[Delivered Date]],"mmm")</f>
        <v>Jul</v>
      </c>
      <c r="H272" s="16">
        <f>MONTH(Work[[#This Row],[Delivered Date]])</f>
        <v>7</v>
      </c>
      <c r="I272" s="1" t="str">
        <f>TEXT(Work[[#This Row],[Delivered Date]],"ddd")</f>
        <v>Wed</v>
      </c>
      <c r="J272" s="4">
        <f>_xlfn.XLOOKUP(Work[[#This Row],[Product Name]],Cost[Product Name],Cost[Cost Percentage],"NA")</f>
        <v>0.5</v>
      </c>
      <c r="K272" s="3">
        <v>92</v>
      </c>
      <c r="L272" s="3">
        <f>Work[[#This Row],[Unit Price]]*Work[[#This Row],[Quantity]]</f>
        <v>644</v>
      </c>
      <c r="M272" s="3">
        <f>Work[[#This Row],[Revenue]]*Work[[#This Row],[cost percentage]]</f>
        <v>322</v>
      </c>
      <c r="N272" s="3">
        <f>Work[[#This Row],[Revenue]]-Work[[#This Row],[Cost]]</f>
        <v>322</v>
      </c>
      <c r="O272">
        <v>7</v>
      </c>
      <c r="P272" s="6">
        <f>Work[[#This Row],[Delivered Date]]-Work[[#This Row],[Order Date]]</f>
        <v>5</v>
      </c>
      <c r="Q272" t="s">
        <v>14</v>
      </c>
      <c r="R272" t="s">
        <v>33</v>
      </c>
      <c r="S272" t="s">
        <v>15</v>
      </c>
    </row>
    <row r="273" spans="1:19" x14ac:dyDescent="0.35">
      <c r="A273">
        <v>222</v>
      </c>
      <c r="B273" t="s">
        <v>268</v>
      </c>
      <c r="C273" t="s">
        <v>24</v>
      </c>
      <c r="D273" t="s">
        <v>100</v>
      </c>
      <c r="E273" s="9">
        <v>45462</v>
      </c>
      <c r="F273" s="9">
        <v>45476</v>
      </c>
      <c r="G273" s="4" t="str">
        <f>TEXT(Work[[#This Row],[Delivered Date]],"mmm")</f>
        <v>Jul</v>
      </c>
      <c r="H273" s="16">
        <f>MONTH(Work[[#This Row],[Delivered Date]])</f>
        <v>7</v>
      </c>
      <c r="I273" s="1" t="str">
        <f>TEXT(Work[[#This Row],[Delivered Date]],"ddd")</f>
        <v>Wed</v>
      </c>
      <c r="J273" s="4">
        <f>_xlfn.XLOOKUP(Work[[#This Row],[Product Name]],Cost[Product Name],Cost[Cost Percentage],"NA")</f>
        <v>0.6</v>
      </c>
      <c r="K273" s="3">
        <v>989</v>
      </c>
      <c r="L273" s="3">
        <f>Work[[#This Row],[Unit Price]]*Work[[#This Row],[Quantity]]</f>
        <v>4945</v>
      </c>
      <c r="M273" s="3">
        <f>Work[[#This Row],[Revenue]]*Work[[#This Row],[cost percentage]]</f>
        <v>2967</v>
      </c>
      <c r="N273" s="3">
        <f>Work[[#This Row],[Revenue]]-Work[[#This Row],[Cost]]</f>
        <v>1978</v>
      </c>
      <c r="O273">
        <v>5</v>
      </c>
      <c r="P273" s="6">
        <f>Work[[#This Row],[Delivered Date]]-Work[[#This Row],[Order Date]]</f>
        <v>14</v>
      </c>
      <c r="Q273" t="s">
        <v>14</v>
      </c>
      <c r="R273" t="s">
        <v>551</v>
      </c>
      <c r="S273" t="s">
        <v>15</v>
      </c>
    </row>
    <row r="274" spans="1:19" x14ac:dyDescent="0.35">
      <c r="A274">
        <v>235</v>
      </c>
      <c r="B274" t="s">
        <v>281</v>
      </c>
      <c r="C274" t="s">
        <v>24</v>
      </c>
      <c r="D274" t="s">
        <v>38</v>
      </c>
      <c r="E274" s="9">
        <v>45485</v>
      </c>
      <c r="F274" s="9">
        <v>45498</v>
      </c>
      <c r="G274" s="4" t="str">
        <f>TEXT(Work[[#This Row],[Delivered Date]],"mmm")</f>
        <v>Jul</v>
      </c>
      <c r="H274" s="16">
        <f>MONTH(Work[[#This Row],[Delivered Date]])</f>
        <v>7</v>
      </c>
      <c r="I274" s="1" t="str">
        <f>TEXT(Work[[#This Row],[Delivered Date]],"ddd")</f>
        <v>Thu</v>
      </c>
      <c r="J274" s="4">
        <f>_xlfn.XLOOKUP(Work[[#This Row],[Product Name]],Cost[Product Name],Cost[Cost Percentage],"NA")</f>
        <v>0.5</v>
      </c>
      <c r="K274" s="3">
        <v>497</v>
      </c>
      <c r="L274" s="3">
        <f>Work[[#This Row],[Unit Price]]*Work[[#This Row],[Quantity]]</f>
        <v>4473</v>
      </c>
      <c r="M274" s="3">
        <f>Work[[#This Row],[Revenue]]*Work[[#This Row],[cost percentage]]</f>
        <v>2236.5</v>
      </c>
      <c r="N274" s="3">
        <f>Work[[#This Row],[Revenue]]-Work[[#This Row],[Cost]]</f>
        <v>2236.5</v>
      </c>
      <c r="O274">
        <v>9</v>
      </c>
      <c r="P274" s="6">
        <f>Work[[#This Row],[Delivered Date]]-Work[[#This Row],[Order Date]]</f>
        <v>13</v>
      </c>
      <c r="Q274" t="s">
        <v>28</v>
      </c>
      <c r="R274" t="s">
        <v>551</v>
      </c>
      <c r="S274" t="s">
        <v>46</v>
      </c>
    </row>
    <row r="275" spans="1:19" x14ac:dyDescent="0.35">
      <c r="A275">
        <v>239</v>
      </c>
      <c r="B275" t="s">
        <v>285</v>
      </c>
      <c r="C275" t="s">
        <v>17</v>
      </c>
      <c r="D275" t="s">
        <v>56</v>
      </c>
      <c r="E275" s="9">
        <v>45488</v>
      </c>
      <c r="F275" s="9">
        <v>45501</v>
      </c>
      <c r="G275" s="4" t="str">
        <f>TEXT(Work[[#This Row],[Delivered Date]],"mmm")</f>
        <v>Jul</v>
      </c>
      <c r="H275" s="16">
        <f>MONTH(Work[[#This Row],[Delivered Date]])</f>
        <v>7</v>
      </c>
      <c r="I275" s="1" t="str">
        <f>TEXT(Work[[#This Row],[Delivered Date]],"ddd")</f>
        <v>Sun</v>
      </c>
      <c r="J275" s="4">
        <f>_xlfn.XLOOKUP(Work[[#This Row],[Product Name]],Cost[Product Name],Cost[Cost Percentage],"NA")</f>
        <v>0.55000000000000004</v>
      </c>
      <c r="K275" s="3">
        <v>819</v>
      </c>
      <c r="L275" s="3">
        <f>Work[[#This Row],[Unit Price]]*Work[[#This Row],[Quantity]]</f>
        <v>2457</v>
      </c>
      <c r="M275" s="3">
        <f>Work[[#This Row],[Revenue]]*Work[[#This Row],[cost percentage]]</f>
        <v>1351.3500000000001</v>
      </c>
      <c r="N275" s="3">
        <f>Work[[#This Row],[Revenue]]-Work[[#This Row],[Cost]]</f>
        <v>1105.6499999999999</v>
      </c>
      <c r="O275">
        <v>3</v>
      </c>
      <c r="P275" s="6">
        <f>Work[[#This Row],[Delivered Date]]-Work[[#This Row],[Order Date]]</f>
        <v>13</v>
      </c>
      <c r="Q275" t="s">
        <v>28</v>
      </c>
      <c r="R275" t="s">
        <v>33</v>
      </c>
      <c r="S275" t="s">
        <v>15</v>
      </c>
    </row>
    <row r="276" spans="1:19" x14ac:dyDescent="0.35">
      <c r="A276">
        <v>243</v>
      </c>
      <c r="B276" t="s">
        <v>289</v>
      </c>
      <c r="C276" t="s">
        <v>31</v>
      </c>
      <c r="D276" t="s">
        <v>50</v>
      </c>
      <c r="E276" s="9">
        <v>45490</v>
      </c>
      <c r="F276" s="9">
        <v>45496</v>
      </c>
      <c r="G276" s="4" t="str">
        <f>TEXT(Work[[#This Row],[Delivered Date]],"mmm")</f>
        <v>Jul</v>
      </c>
      <c r="H276" s="16">
        <f>MONTH(Work[[#This Row],[Delivered Date]])</f>
        <v>7</v>
      </c>
      <c r="I276" s="1" t="str">
        <f>TEXT(Work[[#This Row],[Delivered Date]],"ddd")</f>
        <v>Tue</v>
      </c>
      <c r="J276" s="4">
        <f>_xlfn.XLOOKUP(Work[[#This Row],[Product Name]],Cost[Product Name],Cost[Cost Percentage],"NA")</f>
        <v>0.7</v>
      </c>
      <c r="K276" s="3">
        <v>752</v>
      </c>
      <c r="L276" s="3">
        <f>Work[[#This Row],[Unit Price]]*Work[[#This Row],[Quantity]]</f>
        <v>1504</v>
      </c>
      <c r="M276" s="3">
        <f>Work[[#This Row],[Revenue]]*Work[[#This Row],[cost percentage]]</f>
        <v>1052.8</v>
      </c>
      <c r="N276" s="3">
        <f>Work[[#This Row],[Revenue]]-Work[[#This Row],[Cost]]</f>
        <v>451.20000000000005</v>
      </c>
      <c r="O276">
        <v>2</v>
      </c>
      <c r="P276" s="6">
        <f>Work[[#This Row],[Delivered Date]]-Work[[#This Row],[Order Date]]</f>
        <v>6</v>
      </c>
      <c r="Q276" t="s">
        <v>28</v>
      </c>
      <c r="R276" t="s">
        <v>33</v>
      </c>
      <c r="S276" t="s">
        <v>19</v>
      </c>
    </row>
    <row r="277" spans="1:19" x14ac:dyDescent="0.35">
      <c r="A277">
        <v>245</v>
      </c>
      <c r="B277" t="s">
        <v>291</v>
      </c>
      <c r="C277" t="s">
        <v>31</v>
      </c>
      <c r="D277" t="s">
        <v>32</v>
      </c>
      <c r="E277" s="9">
        <v>45486</v>
      </c>
      <c r="F277" s="9">
        <v>45492</v>
      </c>
      <c r="G277" s="4" t="str">
        <f>TEXT(Work[[#This Row],[Delivered Date]],"mmm")</f>
        <v>Jul</v>
      </c>
      <c r="H277" s="16">
        <f>MONTH(Work[[#This Row],[Delivered Date]])</f>
        <v>7</v>
      </c>
      <c r="I277" s="1" t="str">
        <f>TEXT(Work[[#This Row],[Delivered Date]],"ddd")</f>
        <v>Fri</v>
      </c>
      <c r="J277" s="4">
        <f>_xlfn.XLOOKUP(Work[[#This Row],[Product Name]],Cost[Product Name],Cost[Cost Percentage],"NA")</f>
        <v>0.75</v>
      </c>
      <c r="K277" s="3">
        <v>460</v>
      </c>
      <c r="L277" s="3">
        <f>Work[[#This Row],[Unit Price]]*Work[[#This Row],[Quantity]]</f>
        <v>2760</v>
      </c>
      <c r="M277" s="3">
        <f>Work[[#This Row],[Revenue]]*Work[[#This Row],[cost percentage]]</f>
        <v>2070</v>
      </c>
      <c r="N277" s="3">
        <f>Work[[#This Row],[Revenue]]-Work[[#This Row],[Cost]]</f>
        <v>690</v>
      </c>
      <c r="O277">
        <v>6</v>
      </c>
      <c r="P277" s="6">
        <f>Work[[#This Row],[Delivered Date]]-Work[[#This Row],[Order Date]]</f>
        <v>6</v>
      </c>
      <c r="Q277" t="s">
        <v>28</v>
      </c>
      <c r="R277" t="s">
        <v>547</v>
      </c>
      <c r="S277" t="s">
        <v>15</v>
      </c>
    </row>
    <row r="278" spans="1:19" x14ac:dyDescent="0.35">
      <c r="A278">
        <v>246</v>
      </c>
      <c r="B278" t="s">
        <v>292</v>
      </c>
      <c r="C278" t="s">
        <v>31</v>
      </c>
      <c r="D278" t="s">
        <v>42</v>
      </c>
      <c r="E278" s="9">
        <v>45495</v>
      </c>
      <c r="F278" s="9">
        <v>45498</v>
      </c>
      <c r="G278" s="4" t="str">
        <f>TEXT(Work[[#This Row],[Delivered Date]],"mmm")</f>
        <v>Jul</v>
      </c>
      <c r="H278" s="16">
        <f>MONTH(Work[[#This Row],[Delivered Date]])</f>
        <v>7</v>
      </c>
      <c r="I278" s="1" t="str">
        <f>TEXT(Work[[#This Row],[Delivered Date]],"ddd")</f>
        <v>Thu</v>
      </c>
      <c r="J278" s="4">
        <f>_xlfn.XLOOKUP(Work[[#This Row],[Product Name]],Cost[Product Name],Cost[Cost Percentage],"NA")</f>
        <v>0.65</v>
      </c>
      <c r="K278" s="3">
        <v>308</v>
      </c>
      <c r="L278" s="3">
        <f>Work[[#This Row],[Unit Price]]*Work[[#This Row],[Quantity]]</f>
        <v>1848</v>
      </c>
      <c r="M278" s="3">
        <f>Work[[#This Row],[Revenue]]*Work[[#This Row],[cost percentage]]</f>
        <v>1201.2</v>
      </c>
      <c r="N278" s="3">
        <f>Work[[#This Row],[Revenue]]-Work[[#This Row],[Cost]]</f>
        <v>646.79999999999995</v>
      </c>
      <c r="O278">
        <v>6</v>
      </c>
      <c r="P278" s="6">
        <f>Work[[#This Row],[Delivered Date]]-Work[[#This Row],[Order Date]]</f>
        <v>3</v>
      </c>
      <c r="Q278" t="s">
        <v>28</v>
      </c>
      <c r="R278" t="s">
        <v>552</v>
      </c>
      <c r="S278" t="s">
        <v>29</v>
      </c>
    </row>
    <row r="279" spans="1:19" x14ac:dyDescent="0.35">
      <c r="A279">
        <v>258</v>
      </c>
      <c r="B279" t="s">
        <v>304</v>
      </c>
      <c r="C279" t="s">
        <v>12</v>
      </c>
      <c r="D279" t="s">
        <v>58</v>
      </c>
      <c r="E279" s="9">
        <v>45483</v>
      </c>
      <c r="F279" s="9">
        <v>45487</v>
      </c>
      <c r="G279" s="4" t="str">
        <f>TEXT(Work[[#This Row],[Delivered Date]],"mmm")</f>
        <v>Jul</v>
      </c>
      <c r="H279" s="16">
        <f>MONTH(Work[[#This Row],[Delivered Date]])</f>
        <v>7</v>
      </c>
      <c r="I279" s="1" t="str">
        <f>TEXT(Work[[#This Row],[Delivered Date]],"ddd")</f>
        <v>Sun</v>
      </c>
      <c r="J279" s="4">
        <f>_xlfn.XLOOKUP(Work[[#This Row],[Product Name]],Cost[Product Name],Cost[Cost Percentage],"NA")</f>
        <v>0.85</v>
      </c>
      <c r="K279" s="3">
        <v>533</v>
      </c>
      <c r="L279" s="3">
        <f>Work[[#This Row],[Unit Price]]*Work[[#This Row],[Quantity]]</f>
        <v>1599</v>
      </c>
      <c r="M279" s="3">
        <f>Work[[#This Row],[Revenue]]*Work[[#This Row],[cost percentage]]</f>
        <v>1359.1499999999999</v>
      </c>
      <c r="N279" s="3">
        <f>Work[[#This Row],[Revenue]]-Work[[#This Row],[Cost]]</f>
        <v>239.85000000000014</v>
      </c>
      <c r="O279">
        <v>3</v>
      </c>
      <c r="P279" s="6">
        <f>Work[[#This Row],[Delivered Date]]-Work[[#This Row],[Order Date]]</f>
        <v>4</v>
      </c>
      <c r="Q279" t="s">
        <v>28</v>
      </c>
      <c r="R279" t="s">
        <v>550</v>
      </c>
      <c r="S279" t="s">
        <v>19</v>
      </c>
    </row>
    <row r="280" spans="1:19" x14ac:dyDescent="0.35">
      <c r="A280">
        <v>259</v>
      </c>
      <c r="B280" t="s">
        <v>305</v>
      </c>
      <c r="C280" t="s">
        <v>21</v>
      </c>
      <c r="D280" t="s">
        <v>52</v>
      </c>
      <c r="E280" s="9">
        <v>45488</v>
      </c>
      <c r="F280" s="9">
        <v>45500</v>
      </c>
      <c r="G280" s="4" t="str">
        <f>TEXT(Work[[#This Row],[Delivered Date]],"mmm")</f>
        <v>Jul</v>
      </c>
      <c r="H280" s="16">
        <f>MONTH(Work[[#This Row],[Delivered Date]])</f>
        <v>7</v>
      </c>
      <c r="I280" s="1" t="str">
        <f>TEXT(Work[[#This Row],[Delivered Date]],"ddd")</f>
        <v>Sat</v>
      </c>
      <c r="J280" s="4">
        <f>_xlfn.XLOOKUP(Work[[#This Row],[Product Name]],Cost[Product Name],Cost[Cost Percentage],"NA")</f>
        <v>0.7</v>
      </c>
      <c r="K280" s="3">
        <v>200</v>
      </c>
      <c r="L280" s="3">
        <f>Work[[#This Row],[Unit Price]]*Work[[#This Row],[Quantity]]</f>
        <v>1400</v>
      </c>
      <c r="M280" s="3">
        <f>Work[[#This Row],[Revenue]]*Work[[#This Row],[cost percentage]]</f>
        <v>979.99999999999989</v>
      </c>
      <c r="N280" s="3">
        <f>Work[[#This Row],[Revenue]]-Work[[#This Row],[Cost]]</f>
        <v>420.00000000000011</v>
      </c>
      <c r="O280">
        <v>7</v>
      </c>
      <c r="P280" s="6">
        <f>Work[[#This Row],[Delivered Date]]-Work[[#This Row],[Order Date]]</f>
        <v>12</v>
      </c>
      <c r="Q280" t="s">
        <v>28</v>
      </c>
      <c r="R280" t="s">
        <v>550</v>
      </c>
      <c r="S280" t="s">
        <v>46</v>
      </c>
    </row>
    <row r="281" spans="1:19" x14ac:dyDescent="0.35">
      <c r="A281">
        <v>280</v>
      </c>
      <c r="B281" t="s">
        <v>326</v>
      </c>
      <c r="C281" t="s">
        <v>17</v>
      </c>
      <c r="D281" t="s">
        <v>44</v>
      </c>
      <c r="E281" s="9">
        <v>45471</v>
      </c>
      <c r="F281" s="9">
        <v>45484</v>
      </c>
      <c r="G281" s="4" t="str">
        <f>TEXT(Work[[#This Row],[Delivered Date]],"mmm")</f>
        <v>Jul</v>
      </c>
      <c r="H281" s="16">
        <f>MONTH(Work[[#This Row],[Delivered Date]])</f>
        <v>7</v>
      </c>
      <c r="I281" s="1" t="str">
        <f>TEXT(Work[[#This Row],[Delivered Date]],"ddd")</f>
        <v>Thu</v>
      </c>
      <c r="J281" s="4">
        <f>_xlfn.XLOOKUP(Work[[#This Row],[Product Name]],Cost[Product Name],Cost[Cost Percentage],"NA")</f>
        <v>0.6</v>
      </c>
      <c r="K281" s="3">
        <v>332</v>
      </c>
      <c r="L281" s="3">
        <f>Work[[#This Row],[Unit Price]]*Work[[#This Row],[Quantity]]</f>
        <v>2324</v>
      </c>
      <c r="M281" s="3">
        <f>Work[[#This Row],[Revenue]]*Work[[#This Row],[cost percentage]]</f>
        <v>1394.3999999999999</v>
      </c>
      <c r="N281" s="3">
        <f>Work[[#This Row],[Revenue]]-Work[[#This Row],[Cost]]</f>
        <v>929.60000000000014</v>
      </c>
      <c r="O281">
        <v>7</v>
      </c>
      <c r="P281" s="6">
        <f>Work[[#This Row],[Delivered Date]]-Work[[#This Row],[Order Date]]</f>
        <v>13</v>
      </c>
      <c r="Q281" t="s">
        <v>14</v>
      </c>
      <c r="R281" t="s">
        <v>549</v>
      </c>
      <c r="S281" t="s">
        <v>46</v>
      </c>
    </row>
    <row r="282" spans="1:19" x14ac:dyDescent="0.35">
      <c r="A282">
        <v>290</v>
      </c>
      <c r="B282" t="s">
        <v>336</v>
      </c>
      <c r="C282" t="s">
        <v>17</v>
      </c>
      <c r="D282" t="s">
        <v>64</v>
      </c>
      <c r="E282" s="9">
        <v>45480</v>
      </c>
      <c r="F282" s="9">
        <v>45490</v>
      </c>
      <c r="G282" s="4" t="str">
        <f>TEXT(Work[[#This Row],[Delivered Date]],"mmm")</f>
        <v>Jul</v>
      </c>
      <c r="H282" s="16">
        <f>MONTH(Work[[#This Row],[Delivered Date]])</f>
        <v>7</v>
      </c>
      <c r="I282" s="1" t="str">
        <f>TEXT(Work[[#This Row],[Delivered Date]],"ddd")</f>
        <v>Wed</v>
      </c>
      <c r="J282" s="4">
        <f>_xlfn.XLOOKUP(Work[[#This Row],[Product Name]],Cost[Product Name],Cost[Cost Percentage],"NA")</f>
        <v>0.5</v>
      </c>
      <c r="K282" s="3">
        <v>271</v>
      </c>
      <c r="L282" s="3">
        <f>Work[[#This Row],[Unit Price]]*Work[[#This Row],[Quantity]]</f>
        <v>813</v>
      </c>
      <c r="M282" s="3">
        <f>Work[[#This Row],[Revenue]]*Work[[#This Row],[cost percentage]]</f>
        <v>406.5</v>
      </c>
      <c r="N282" s="3">
        <f>Work[[#This Row],[Revenue]]-Work[[#This Row],[Cost]]</f>
        <v>406.5</v>
      </c>
      <c r="O282">
        <v>3</v>
      </c>
      <c r="P282" s="6">
        <f>Work[[#This Row],[Delivered Date]]-Work[[#This Row],[Order Date]]</f>
        <v>10</v>
      </c>
      <c r="Q282" t="s">
        <v>28</v>
      </c>
      <c r="R282" t="s">
        <v>549</v>
      </c>
      <c r="S282" t="s">
        <v>15</v>
      </c>
    </row>
    <row r="283" spans="1:19" x14ac:dyDescent="0.35">
      <c r="A283">
        <v>292</v>
      </c>
      <c r="B283" t="s">
        <v>338</v>
      </c>
      <c r="C283" t="s">
        <v>12</v>
      </c>
      <c r="D283" t="s">
        <v>27</v>
      </c>
      <c r="E283" s="9">
        <v>45478</v>
      </c>
      <c r="F283" s="9">
        <v>45491</v>
      </c>
      <c r="G283" s="4" t="str">
        <f>TEXT(Work[[#This Row],[Delivered Date]],"mmm")</f>
        <v>Jul</v>
      </c>
      <c r="H283" s="16">
        <f>MONTH(Work[[#This Row],[Delivered Date]])</f>
        <v>7</v>
      </c>
      <c r="I283" s="1" t="str">
        <f>TEXT(Work[[#This Row],[Delivered Date]],"ddd")</f>
        <v>Thu</v>
      </c>
      <c r="J283" s="4">
        <f>_xlfn.XLOOKUP(Work[[#This Row],[Product Name]],Cost[Product Name],Cost[Cost Percentage],"NA")</f>
        <v>0.65</v>
      </c>
      <c r="K283" s="3">
        <v>952</v>
      </c>
      <c r="L283" s="3">
        <f>Work[[#This Row],[Unit Price]]*Work[[#This Row],[Quantity]]</f>
        <v>6664</v>
      </c>
      <c r="M283" s="3">
        <f>Work[[#This Row],[Revenue]]*Work[[#This Row],[cost percentage]]</f>
        <v>4331.6000000000004</v>
      </c>
      <c r="N283" s="3">
        <f>Work[[#This Row],[Revenue]]-Work[[#This Row],[Cost]]</f>
        <v>2332.3999999999996</v>
      </c>
      <c r="O283">
        <v>7</v>
      </c>
      <c r="P283" s="6">
        <f>Work[[#This Row],[Delivered Date]]-Work[[#This Row],[Order Date]]</f>
        <v>13</v>
      </c>
      <c r="Q283" t="s">
        <v>14</v>
      </c>
      <c r="R283" t="s">
        <v>548</v>
      </c>
      <c r="S283" t="s">
        <v>15</v>
      </c>
    </row>
    <row r="284" spans="1:19" x14ac:dyDescent="0.35">
      <c r="A284">
        <v>293</v>
      </c>
      <c r="B284" t="s">
        <v>339</v>
      </c>
      <c r="C284" t="s">
        <v>12</v>
      </c>
      <c r="D284" t="s">
        <v>36</v>
      </c>
      <c r="E284" s="9">
        <v>45482</v>
      </c>
      <c r="F284" s="9">
        <v>45488</v>
      </c>
      <c r="G284" s="4" t="str">
        <f>TEXT(Work[[#This Row],[Delivered Date]],"mmm")</f>
        <v>Jul</v>
      </c>
      <c r="H284" s="16">
        <f>MONTH(Work[[#This Row],[Delivered Date]])</f>
        <v>7</v>
      </c>
      <c r="I284" s="1" t="str">
        <f>TEXT(Work[[#This Row],[Delivered Date]],"ddd")</f>
        <v>Mon</v>
      </c>
      <c r="J284" s="4">
        <f>_xlfn.XLOOKUP(Work[[#This Row],[Product Name]],Cost[Product Name],Cost[Cost Percentage],"NA")</f>
        <v>0.8</v>
      </c>
      <c r="K284" s="3">
        <v>524</v>
      </c>
      <c r="L284" s="3">
        <f>Work[[#This Row],[Unit Price]]*Work[[#This Row],[Quantity]]</f>
        <v>1048</v>
      </c>
      <c r="M284" s="3">
        <f>Work[[#This Row],[Revenue]]*Work[[#This Row],[cost percentage]]</f>
        <v>838.40000000000009</v>
      </c>
      <c r="N284" s="3">
        <f>Work[[#This Row],[Revenue]]-Work[[#This Row],[Cost]]</f>
        <v>209.59999999999991</v>
      </c>
      <c r="O284">
        <v>2</v>
      </c>
      <c r="P284" s="6">
        <f>Work[[#This Row],[Delivered Date]]-Work[[#This Row],[Order Date]]</f>
        <v>6</v>
      </c>
      <c r="Q284" t="s">
        <v>14</v>
      </c>
      <c r="R284" t="s">
        <v>552</v>
      </c>
      <c r="S284" t="s">
        <v>19</v>
      </c>
    </row>
    <row r="285" spans="1:19" x14ac:dyDescent="0.35">
      <c r="A285">
        <v>304</v>
      </c>
      <c r="B285" t="s">
        <v>350</v>
      </c>
      <c r="C285" t="s">
        <v>21</v>
      </c>
      <c r="D285" t="s">
        <v>22</v>
      </c>
      <c r="E285" s="9">
        <v>45482</v>
      </c>
      <c r="F285" s="9">
        <v>45493</v>
      </c>
      <c r="G285" s="4" t="str">
        <f>TEXT(Work[[#This Row],[Delivered Date]],"mmm")</f>
        <v>Jul</v>
      </c>
      <c r="H285" s="16">
        <f>MONTH(Work[[#This Row],[Delivered Date]])</f>
        <v>7</v>
      </c>
      <c r="I285" s="1" t="str">
        <f>TEXT(Work[[#This Row],[Delivered Date]],"ddd")</f>
        <v>Sat</v>
      </c>
      <c r="J285" s="4">
        <f>_xlfn.XLOOKUP(Work[[#This Row],[Product Name]],Cost[Product Name],Cost[Cost Percentage],"NA")</f>
        <v>0.75</v>
      </c>
      <c r="K285" s="3">
        <v>606</v>
      </c>
      <c r="L285" s="3">
        <f>Work[[#This Row],[Unit Price]]*Work[[#This Row],[Quantity]]</f>
        <v>1212</v>
      </c>
      <c r="M285" s="3">
        <f>Work[[#This Row],[Revenue]]*Work[[#This Row],[cost percentage]]</f>
        <v>909</v>
      </c>
      <c r="N285" s="3">
        <f>Work[[#This Row],[Revenue]]-Work[[#This Row],[Cost]]</f>
        <v>303</v>
      </c>
      <c r="O285">
        <v>2</v>
      </c>
      <c r="P285" s="6">
        <f>Work[[#This Row],[Delivered Date]]-Work[[#This Row],[Order Date]]</f>
        <v>11</v>
      </c>
      <c r="Q285" t="s">
        <v>14</v>
      </c>
      <c r="R285" t="s">
        <v>552</v>
      </c>
      <c r="S285" t="s">
        <v>15</v>
      </c>
    </row>
    <row r="286" spans="1:19" x14ac:dyDescent="0.35">
      <c r="A286">
        <v>316</v>
      </c>
      <c r="B286" t="s">
        <v>362</v>
      </c>
      <c r="C286" t="s">
        <v>31</v>
      </c>
      <c r="D286" t="s">
        <v>76</v>
      </c>
      <c r="E286" s="9">
        <v>45851</v>
      </c>
      <c r="F286" s="9">
        <v>45856</v>
      </c>
      <c r="G286" s="4" t="str">
        <f>TEXT(Work[[#This Row],[Delivered Date]],"mmm")</f>
        <v>Jul</v>
      </c>
      <c r="H286" s="16">
        <f>MONTH(Work[[#This Row],[Delivered Date]])</f>
        <v>7</v>
      </c>
      <c r="I286" s="1" t="str">
        <f>TEXT(Work[[#This Row],[Delivered Date]],"ddd")</f>
        <v>Fri</v>
      </c>
      <c r="J286" s="4">
        <f>_xlfn.XLOOKUP(Work[[#This Row],[Product Name]],Cost[Product Name],Cost[Cost Percentage],"NA")</f>
        <v>0.75</v>
      </c>
      <c r="K286" s="3">
        <v>974</v>
      </c>
      <c r="L286" s="3">
        <f>Work[[#This Row],[Unit Price]]*Work[[#This Row],[Quantity]]</f>
        <v>9740</v>
      </c>
      <c r="M286" s="3">
        <f>Work[[#This Row],[Revenue]]*Work[[#This Row],[cost percentage]]</f>
        <v>7305</v>
      </c>
      <c r="N286" s="3">
        <f>Work[[#This Row],[Revenue]]-Work[[#This Row],[Cost]]</f>
        <v>2435</v>
      </c>
      <c r="O286">
        <v>10</v>
      </c>
      <c r="P286" s="6">
        <f>Work[[#This Row],[Delivered Date]]-Work[[#This Row],[Order Date]]</f>
        <v>5</v>
      </c>
      <c r="Q286" t="s">
        <v>14</v>
      </c>
      <c r="R286" t="s">
        <v>550</v>
      </c>
      <c r="S286" t="s">
        <v>19</v>
      </c>
    </row>
    <row r="287" spans="1:19" x14ac:dyDescent="0.35">
      <c r="A287">
        <v>317</v>
      </c>
      <c r="B287" t="s">
        <v>363</v>
      </c>
      <c r="C287" t="s">
        <v>17</v>
      </c>
      <c r="D287" t="s">
        <v>64</v>
      </c>
      <c r="E287" s="9">
        <v>45835</v>
      </c>
      <c r="F287" s="9">
        <v>45840</v>
      </c>
      <c r="G287" s="4" t="str">
        <f>TEXT(Work[[#This Row],[Delivered Date]],"mmm")</f>
        <v>Jul</v>
      </c>
      <c r="H287" s="16">
        <f>MONTH(Work[[#This Row],[Delivered Date]])</f>
        <v>7</v>
      </c>
      <c r="I287" s="1" t="str">
        <f>TEXT(Work[[#This Row],[Delivered Date]],"ddd")</f>
        <v>Wed</v>
      </c>
      <c r="J287" s="4">
        <f>_xlfn.XLOOKUP(Work[[#This Row],[Product Name]],Cost[Product Name],Cost[Cost Percentage],"NA")</f>
        <v>0.5</v>
      </c>
      <c r="K287" s="3">
        <v>179</v>
      </c>
      <c r="L287" s="3">
        <f>Work[[#This Row],[Unit Price]]*Work[[#This Row],[Quantity]]</f>
        <v>537</v>
      </c>
      <c r="M287" s="3">
        <f>Work[[#This Row],[Revenue]]*Work[[#This Row],[cost percentage]]</f>
        <v>268.5</v>
      </c>
      <c r="N287" s="3">
        <f>Work[[#This Row],[Revenue]]-Work[[#This Row],[Cost]]</f>
        <v>268.5</v>
      </c>
      <c r="O287">
        <v>3</v>
      </c>
      <c r="P287" s="6">
        <f>Work[[#This Row],[Delivered Date]]-Work[[#This Row],[Order Date]]</f>
        <v>5</v>
      </c>
      <c r="Q287" t="s">
        <v>14</v>
      </c>
      <c r="R287" t="s">
        <v>549</v>
      </c>
      <c r="S287" t="s">
        <v>46</v>
      </c>
    </row>
    <row r="288" spans="1:19" x14ac:dyDescent="0.35">
      <c r="A288">
        <v>323</v>
      </c>
      <c r="B288" t="s">
        <v>369</v>
      </c>
      <c r="C288" t="s">
        <v>21</v>
      </c>
      <c r="D288" t="s">
        <v>40</v>
      </c>
      <c r="E288" s="9">
        <v>45839</v>
      </c>
      <c r="F288" s="9">
        <v>45845</v>
      </c>
      <c r="G288" s="4" t="str">
        <f>TEXT(Work[[#This Row],[Delivered Date]],"mmm")</f>
        <v>Jul</v>
      </c>
      <c r="H288" s="16">
        <f>MONTH(Work[[#This Row],[Delivered Date]])</f>
        <v>7</v>
      </c>
      <c r="I288" s="1" t="str">
        <f>TEXT(Work[[#This Row],[Delivered Date]],"ddd")</f>
        <v>Mon</v>
      </c>
      <c r="J288" s="4">
        <f>_xlfn.XLOOKUP(Work[[#This Row],[Product Name]],Cost[Product Name],Cost[Cost Percentage],"NA")</f>
        <v>0.65</v>
      </c>
      <c r="K288" s="3">
        <v>195</v>
      </c>
      <c r="L288" s="3">
        <f>Work[[#This Row],[Unit Price]]*Work[[#This Row],[Quantity]]</f>
        <v>1365</v>
      </c>
      <c r="M288" s="3">
        <f>Work[[#This Row],[Revenue]]*Work[[#This Row],[cost percentage]]</f>
        <v>887.25</v>
      </c>
      <c r="N288" s="3">
        <f>Work[[#This Row],[Revenue]]-Work[[#This Row],[Cost]]</f>
        <v>477.75</v>
      </c>
      <c r="O288">
        <v>7</v>
      </c>
      <c r="P288" s="6">
        <f>Work[[#This Row],[Delivered Date]]-Work[[#This Row],[Order Date]]</f>
        <v>6</v>
      </c>
      <c r="Q288" t="s">
        <v>14</v>
      </c>
      <c r="R288" t="s">
        <v>33</v>
      </c>
      <c r="S288" t="s">
        <v>46</v>
      </c>
    </row>
    <row r="289" spans="1:19" x14ac:dyDescent="0.35">
      <c r="A289">
        <v>324</v>
      </c>
      <c r="B289" t="s">
        <v>370</v>
      </c>
      <c r="C289" t="s">
        <v>31</v>
      </c>
      <c r="D289" t="s">
        <v>50</v>
      </c>
      <c r="E289" s="9">
        <v>45855</v>
      </c>
      <c r="F289" s="9">
        <v>45864</v>
      </c>
      <c r="G289" s="4" t="str">
        <f>TEXT(Work[[#This Row],[Delivered Date]],"mmm")</f>
        <v>Jul</v>
      </c>
      <c r="H289" s="16">
        <f>MONTH(Work[[#This Row],[Delivered Date]])</f>
        <v>7</v>
      </c>
      <c r="I289" s="1" t="str">
        <f>TEXT(Work[[#This Row],[Delivered Date]],"ddd")</f>
        <v>Sat</v>
      </c>
      <c r="J289" s="4">
        <f>_xlfn.XLOOKUP(Work[[#This Row],[Product Name]],Cost[Product Name],Cost[Cost Percentage],"NA")</f>
        <v>0.7</v>
      </c>
      <c r="K289" s="3">
        <v>432</v>
      </c>
      <c r="L289" s="3">
        <f>Work[[#This Row],[Unit Price]]*Work[[#This Row],[Quantity]]</f>
        <v>1728</v>
      </c>
      <c r="M289" s="3">
        <f>Work[[#This Row],[Revenue]]*Work[[#This Row],[cost percentage]]</f>
        <v>1209.5999999999999</v>
      </c>
      <c r="N289" s="3">
        <f>Work[[#This Row],[Revenue]]-Work[[#This Row],[Cost]]</f>
        <v>518.40000000000009</v>
      </c>
      <c r="O289">
        <v>4</v>
      </c>
      <c r="P289" s="6">
        <f>Work[[#This Row],[Delivered Date]]-Work[[#This Row],[Order Date]]</f>
        <v>9</v>
      </c>
      <c r="Q289" t="s">
        <v>14</v>
      </c>
      <c r="R289" t="s">
        <v>550</v>
      </c>
      <c r="S289" t="s">
        <v>15</v>
      </c>
    </row>
    <row r="290" spans="1:19" x14ac:dyDescent="0.35">
      <c r="A290">
        <v>339</v>
      </c>
      <c r="B290" t="s">
        <v>385</v>
      </c>
      <c r="C290" t="s">
        <v>17</v>
      </c>
      <c r="D290" t="s">
        <v>64</v>
      </c>
      <c r="E290" s="9">
        <v>45834</v>
      </c>
      <c r="F290" s="9">
        <v>45842</v>
      </c>
      <c r="G290" s="4" t="str">
        <f>TEXT(Work[[#This Row],[Delivered Date]],"mmm")</f>
        <v>Jul</v>
      </c>
      <c r="H290" s="16">
        <f>MONTH(Work[[#This Row],[Delivered Date]])</f>
        <v>7</v>
      </c>
      <c r="I290" s="1" t="str">
        <f>TEXT(Work[[#This Row],[Delivered Date]],"ddd")</f>
        <v>Fri</v>
      </c>
      <c r="J290" s="4">
        <f>_xlfn.XLOOKUP(Work[[#This Row],[Product Name]],Cost[Product Name],Cost[Cost Percentage],"NA")</f>
        <v>0.5</v>
      </c>
      <c r="K290" s="3">
        <v>569</v>
      </c>
      <c r="L290" s="3">
        <f>Work[[#This Row],[Unit Price]]*Work[[#This Row],[Quantity]]</f>
        <v>3983</v>
      </c>
      <c r="M290" s="3">
        <f>Work[[#This Row],[Revenue]]*Work[[#This Row],[cost percentage]]</f>
        <v>1991.5</v>
      </c>
      <c r="N290" s="3">
        <f>Work[[#This Row],[Revenue]]-Work[[#This Row],[Cost]]</f>
        <v>1991.5</v>
      </c>
      <c r="O290">
        <v>7</v>
      </c>
      <c r="P290" s="6">
        <f>Work[[#This Row],[Delivered Date]]-Work[[#This Row],[Order Date]]</f>
        <v>8</v>
      </c>
      <c r="Q290" t="s">
        <v>14</v>
      </c>
      <c r="R290" t="s">
        <v>550</v>
      </c>
      <c r="S290" t="s">
        <v>46</v>
      </c>
    </row>
    <row r="291" spans="1:19" x14ac:dyDescent="0.35">
      <c r="A291">
        <v>355</v>
      </c>
      <c r="B291" t="s">
        <v>401</v>
      </c>
      <c r="C291" t="s">
        <v>24</v>
      </c>
      <c r="D291" t="s">
        <v>25</v>
      </c>
      <c r="E291" s="9">
        <v>45863</v>
      </c>
      <c r="F291" s="9">
        <v>45868</v>
      </c>
      <c r="G291" s="4" t="str">
        <f>TEXT(Work[[#This Row],[Delivered Date]],"mmm")</f>
        <v>Jul</v>
      </c>
      <c r="H291" s="16">
        <f>MONTH(Work[[#This Row],[Delivered Date]])</f>
        <v>7</v>
      </c>
      <c r="I291" s="1" t="str">
        <f>TEXT(Work[[#This Row],[Delivered Date]],"ddd")</f>
        <v>Wed</v>
      </c>
      <c r="J291" s="4">
        <f>_xlfn.XLOOKUP(Work[[#This Row],[Product Name]],Cost[Product Name],Cost[Cost Percentage],"NA")</f>
        <v>0.55000000000000004</v>
      </c>
      <c r="K291" s="3">
        <v>176</v>
      </c>
      <c r="L291" s="3">
        <f>Work[[#This Row],[Unit Price]]*Work[[#This Row],[Quantity]]</f>
        <v>704</v>
      </c>
      <c r="M291" s="3">
        <f>Work[[#This Row],[Revenue]]*Work[[#This Row],[cost percentage]]</f>
        <v>387.20000000000005</v>
      </c>
      <c r="N291" s="3">
        <f>Work[[#This Row],[Revenue]]-Work[[#This Row],[Cost]]</f>
        <v>316.79999999999995</v>
      </c>
      <c r="O291">
        <v>4</v>
      </c>
      <c r="P291" s="6">
        <f>Work[[#This Row],[Delivered Date]]-Work[[#This Row],[Order Date]]</f>
        <v>5</v>
      </c>
      <c r="Q291" t="s">
        <v>28</v>
      </c>
      <c r="R291" t="s">
        <v>551</v>
      </c>
      <c r="S291" t="s">
        <v>29</v>
      </c>
    </row>
    <row r="292" spans="1:19" x14ac:dyDescent="0.35">
      <c r="A292">
        <v>362</v>
      </c>
      <c r="B292" t="s">
        <v>408</v>
      </c>
      <c r="C292" t="s">
        <v>24</v>
      </c>
      <c r="D292" t="s">
        <v>70</v>
      </c>
      <c r="E292" s="9">
        <v>45858</v>
      </c>
      <c r="F292" s="9">
        <v>45866</v>
      </c>
      <c r="G292" s="4" t="str">
        <f>TEXT(Work[[#This Row],[Delivered Date]],"mmm")</f>
        <v>Jul</v>
      </c>
      <c r="H292" s="16">
        <f>MONTH(Work[[#This Row],[Delivered Date]])</f>
        <v>7</v>
      </c>
      <c r="I292" s="1" t="str">
        <f>TEXT(Work[[#This Row],[Delivered Date]],"ddd")</f>
        <v>Mon</v>
      </c>
      <c r="J292" s="4">
        <f>_xlfn.XLOOKUP(Work[[#This Row],[Product Name]],Cost[Product Name],Cost[Cost Percentage],"NA")</f>
        <v>0.55000000000000004</v>
      </c>
      <c r="K292" s="3">
        <v>474</v>
      </c>
      <c r="L292" s="3">
        <f>Work[[#This Row],[Unit Price]]*Work[[#This Row],[Quantity]]</f>
        <v>3318</v>
      </c>
      <c r="M292" s="3">
        <f>Work[[#This Row],[Revenue]]*Work[[#This Row],[cost percentage]]</f>
        <v>1824.9</v>
      </c>
      <c r="N292" s="3">
        <f>Work[[#This Row],[Revenue]]-Work[[#This Row],[Cost]]</f>
        <v>1493.1</v>
      </c>
      <c r="O292">
        <v>7</v>
      </c>
      <c r="P292" s="6">
        <f>Work[[#This Row],[Delivered Date]]-Work[[#This Row],[Order Date]]</f>
        <v>8</v>
      </c>
      <c r="Q292" t="s">
        <v>14</v>
      </c>
      <c r="R292" t="s">
        <v>550</v>
      </c>
      <c r="S292" t="s">
        <v>15</v>
      </c>
    </row>
    <row r="293" spans="1:19" x14ac:dyDescent="0.35">
      <c r="A293">
        <v>378</v>
      </c>
      <c r="B293" t="s">
        <v>424</v>
      </c>
      <c r="C293" t="s">
        <v>24</v>
      </c>
      <c r="D293" t="s">
        <v>70</v>
      </c>
      <c r="E293" s="9">
        <v>45848</v>
      </c>
      <c r="F293" s="9">
        <v>45856</v>
      </c>
      <c r="G293" s="4" t="str">
        <f>TEXT(Work[[#This Row],[Delivered Date]],"mmm")</f>
        <v>Jul</v>
      </c>
      <c r="H293" s="16">
        <f>MONTH(Work[[#This Row],[Delivered Date]])</f>
        <v>7</v>
      </c>
      <c r="I293" s="1" t="str">
        <f>TEXT(Work[[#This Row],[Delivered Date]],"ddd")</f>
        <v>Fri</v>
      </c>
      <c r="J293" s="4">
        <f>_xlfn.XLOOKUP(Work[[#This Row],[Product Name]],Cost[Product Name],Cost[Cost Percentage],"NA")</f>
        <v>0.55000000000000004</v>
      </c>
      <c r="K293" s="3">
        <v>360</v>
      </c>
      <c r="L293" s="3">
        <f>Work[[#This Row],[Unit Price]]*Work[[#This Row],[Quantity]]</f>
        <v>2880</v>
      </c>
      <c r="M293" s="3">
        <f>Work[[#This Row],[Revenue]]*Work[[#This Row],[cost percentage]]</f>
        <v>1584.0000000000002</v>
      </c>
      <c r="N293" s="3">
        <f>Work[[#This Row],[Revenue]]-Work[[#This Row],[Cost]]</f>
        <v>1295.9999999999998</v>
      </c>
      <c r="O293">
        <v>8</v>
      </c>
      <c r="P293" s="6">
        <f>Work[[#This Row],[Delivered Date]]-Work[[#This Row],[Order Date]]</f>
        <v>8</v>
      </c>
      <c r="Q293" t="s">
        <v>28</v>
      </c>
      <c r="R293" t="s">
        <v>550</v>
      </c>
      <c r="S293" t="s">
        <v>29</v>
      </c>
    </row>
    <row r="294" spans="1:19" x14ac:dyDescent="0.35">
      <c r="A294">
        <v>387</v>
      </c>
      <c r="B294" t="s">
        <v>433</v>
      </c>
      <c r="C294" t="s">
        <v>24</v>
      </c>
      <c r="D294" t="s">
        <v>70</v>
      </c>
      <c r="E294" s="9">
        <v>45842</v>
      </c>
      <c r="F294" s="9">
        <v>45849</v>
      </c>
      <c r="G294" s="4" t="str">
        <f>TEXT(Work[[#This Row],[Delivered Date]],"mmm")</f>
        <v>Jul</v>
      </c>
      <c r="H294" s="16">
        <f>MONTH(Work[[#This Row],[Delivered Date]])</f>
        <v>7</v>
      </c>
      <c r="I294" s="1" t="str">
        <f>TEXT(Work[[#This Row],[Delivered Date]],"ddd")</f>
        <v>Fri</v>
      </c>
      <c r="J294" s="4">
        <f>_xlfn.XLOOKUP(Work[[#This Row],[Product Name]],Cost[Product Name],Cost[Cost Percentage],"NA")</f>
        <v>0.55000000000000004</v>
      </c>
      <c r="K294" s="3">
        <v>969</v>
      </c>
      <c r="L294" s="3">
        <f>Work[[#This Row],[Unit Price]]*Work[[#This Row],[Quantity]]</f>
        <v>1938</v>
      </c>
      <c r="M294" s="3">
        <f>Work[[#This Row],[Revenue]]*Work[[#This Row],[cost percentage]]</f>
        <v>1065.9000000000001</v>
      </c>
      <c r="N294" s="3">
        <f>Work[[#This Row],[Revenue]]-Work[[#This Row],[Cost]]</f>
        <v>872.09999999999991</v>
      </c>
      <c r="O294">
        <v>2</v>
      </c>
      <c r="P294" s="6">
        <f>Work[[#This Row],[Delivered Date]]-Work[[#This Row],[Order Date]]</f>
        <v>7</v>
      </c>
      <c r="Q294" t="s">
        <v>14</v>
      </c>
      <c r="R294" t="s">
        <v>33</v>
      </c>
      <c r="S294" t="s">
        <v>46</v>
      </c>
    </row>
    <row r="295" spans="1:19" x14ac:dyDescent="0.35">
      <c r="A295">
        <v>397</v>
      </c>
      <c r="B295" t="s">
        <v>443</v>
      </c>
      <c r="C295" t="s">
        <v>17</v>
      </c>
      <c r="D295" t="s">
        <v>64</v>
      </c>
      <c r="E295" s="9">
        <v>45861</v>
      </c>
      <c r="F295" s="9">
        <v>45869</v>
      </c>
      <c r="G295" s="4" t="str">
        <f>TEXT(Work[[#This Row],[Delivered Date]],"mmm")</f>
        <v>Jul</v>
      </c>
      <c r="H295" s="16">
        <f>MONTH(Work[[#This Row],[Delivered Date]])</f>
        <v>7</v>
      </c>
      <c r="I295" s="1" t="str">
        <f>TEXT(Work[[#This Row],[Delivered Date]],"ddd")</f>
        <v>Thu</v>
      </c>
      <c r="J295" s="4">
        <f>_xlfn.XLOOKUP(Work[[#This Row],[Product Name]],Cost[Product Name],Cost[Cost Percentage],"NA")</f>
        <v>0.5</v>
      </c>
      <c r="K295" s="3">
        <v>366</v>
      </c>
      <c r="L295" s="3">
        <f>Work[[#This Row],[Unit Price]]*Work[[#This Row],[Quantity]]</f>
        <v>2196</v>
      </c>
      <c r="M295" s="3">
        <f>Work[[#This Row],[Revenue]]*Work[[#This Row],[cost percentage]]</f>
        <v>1098</v>
      </c>
      <c r="N295" s="3">
        <f>Work[[#This Row],[Revenue]]-Work[[#This Row],[Cost]]</f>
        <v>1098</v>
      </c>
      <c r="O295">
        <v>6</v>
      </c>
      <c r="P295" s="6">
        <f>Work[[#This Row],[Delivered Date]]-Work[[#This Row],[Order Date]]</f>
        <v>8</v>
      </c>
      <c r="Q295" t="s">
        <v>14</v>
      </c>
      <c r="R295" t="s">
        <v>551</v>
      </c>
      <c r="S295" t="s">
        <v>46</v>
      </c>
    </row>
    <row r="296" spans="1:19" x14ac:dyDescent="0.35">
      <c r="A296">
        <v>410</v>
      </c>
      <c r="B296" t="s">
        <v>456</v>
      </c>
      <c r="C296" t="s">
        <v>21</v>
      </c>
      <c r="D296" t="s">
        <v>22</v>
      </c>
      <c r="E296" s="9">
        <v>45836</v>
      </c>
      <c r="F296" s="9">
        <v>45842</v>
      </c>
      <c r="G296" s="4" t="str">
        <f>TEXT(Work[[#This Row],[Delivered Date]],"mmm")</f>
        <v>Jul</v>
      </c>
      <c r="H296" s="16">
        <f>MONTH(Work[[#This Row],[Delivered Date]])</f>
        <v>7</v>
      </c>
      <c r="I296" s="1" t="str">
        <f>TEXT(Work[[#This Row],[Delivered Date]],"ddd")</f>
        <v>Fri</v>
      </c>
      <c r="J296" s="4">
        <f>_xlfn.XLOOKUP(Work[[#This Row],[Product Name]],Cost[Product Name],Cost[Cost Percentage],"NA")</f>
        <v>0.75</v>
      </c>
      <c r="K296" s="3">
        <v>187</v>
      </c>
      <c r="L296" s="3">
        <f>Work[[#This Row],[Unit Price]]*Work[[#This Row],[Quantity]]</f>
        <v>187</v>
      </c>
      <c r="M296" s="3">
        <f>Work[[#This Row],[Revenue]]*Work[[#This Row],[cost percentage]]</f>
        <v>140.25</v>
      </c>
      <c r="N296" s="3">
        <f>Work[[#This Row],[Revenue]]-Work[[#This Row],[Cost]]</f>
        <v>46.75</v>
      </c>
      <c r="O296">
        <v>1</v>
      </c>
      <c r="P296" s="6">
        <f>Work[[#This Row],[Delivered Date]]-Work[[#This Row],[Order Date]]</f>
        <v>6</v>
      </c>
      <c r="Q296" t="s">
        <v>28</v>
      </c>
      <c r="R296" t="s">
        <v>551</v>
      </c>
      <c r="S296" t="s">
        <v>19</v>
      </c>
    </row>
    <row r="297" spans="1:19" x14ac:dyDescent="0.35">
      <c r="A297">
        <v>413</v>
      </c>
      <c r="B297" t="s">
        <v>459</v>
      </c>
      <c r="C297" t="s">
        <v>17</v>
      </c>
      <c r="D297" t="s">
        <v>44</v>
      </c>
      <c r="E297" s="9">
        <v>45850</v>
      </c>
      <c r="F297" s="9">
        <v>45858</v>
      </c>
      <c r="G297" s="4" t="str">
        <f>TEXT(Work[[#This Row],[Delivered Date]],"mmm")</f>
        <v>Jul</v>
      </c>
      <c r="H297" s="16">
        <f>MONTH(Work[[#This Row],[Delivered Date]])</f>
        <v>7</v>
      </c>
      <c r="I297" s="1" t="str">
        <f>TEXT(Work[[#This Row],[Delivered Date]],"ddd")</f>
        <v>Sun</v>
      </c>
      <c r="J297" s="4">
        <f>_xlfn.XLOOKUP(Work[[#This Row],[Product Name]],Cost[Product Name],Cost[Cost Percentage],"NA")</f>
        <v>0.6</v>
      </c>
      <c r="K297" s="3">
        <v>779</v>
      </c>
      <c r="L297" s="3">
        <f>Work[[#This Row],[Unit Price]]*Work[[#This Row],[Quantity]]</f>
        <v>6232</v>
      </c>
      <c r="M297" s="3">
        <f>Work[[#This Row],[Revenue]]*Work[[#This Row],[cost percentage]]</f>
        <v>3739.2</v>
      </c>
      <c r="N297" s="3">
        <f>Work[[#This Row],[Revenue]]-Work[[#This Row],[Cost]]</f>
        <v>2492.8000000000002</v>
      </c>
      <c r="O297">
        <v>8</v>
      </c>
      <c r="P297" s="6">
        <f>Work[[#This Row],[Delivered Date]]-Work[[#This Row],[Order Date]]</f>
        <v>8</v>
      </c>
      <c r="Q297" t="s">
        <v>14</v>
      </c>
      <c r="R297" t="s">
        <v>550</v>
      </c>
      <c r="S297" t="s">
        <v>29</v>
      </c>
    </row>
    <row r="298" spans="1:19" x14ac:dyDescent="0.35">
      <c r="A298">
        <v>415</v>
      </c>
      <c r="B298" t="s">
        <v>461</v>
      </c>
      <c r="C298" t="s">
        <v>12</v>
      </c>
      <c r="D298" t="s">
        <v>27</v>
      </c>
      <c r="E298" s="9">
        <v>45854</v>
      </c>
      <c r="F298" s="9">
        <v>45867</v>
      </c>
      <c r="G298" s="4" t="str">
        <f>TEXT(Work[[#This Row],[Delivered Date]],"mmm")</f>
        <v>Jul</v>
      </c>
      <c r="H298" s="16">
        <f>MONTH(Work[[#This Row],[Delivered Date]])</f>
        <v>7</v>
      </c>
      <c r="I298" s="1" t="str">
        <f>TEXT(Work[[#This Row],[Delivered Date]],"ddd")</f>
        <v>Tue</v>
      </c>
      <c r="J298" s="4">
        <f>_xlfn.XLOOKUP(Work[[#This Row],[Product Name]],Cost[Product Name],Cost[Cost Percentage],"NA")</f>
        <v>0.65</v>
      </c>
      <c r="K298" s="3">
        <v>146</v>
      </c>
      <c r="L298" s="3">
        <f>Work[[#This Row],[Unit Price]]*Work[[#This Row],[Quantity]]</f>
        <v>292</v>
      </c>
      <c r="M298" s="3">
        <f>Work[[#This Row],[Revenue]]*Work[[#This Row],[cost percentage]]</f>
        <v>189.8</v>
      </c>
      <c r="N298" s="3">
        <f>Work[[#This Row],[Revenue]]-Work[[#This Row],[Cost]]</f>
        <v>102.19999999999999</v>
      </c>
      <c r="O298">
        <v>2</v>
      </c>
      <c r="P298" s="6">
        <f>Work[[#This Row],[Delivered Date]]-Work[[#This Row],[Order Date]]</f>
        <v>13</v>
      </c>
      <c r="Q298" t="s">
        <v>28</v>
      </c>
      <c r="R298" t="s">
        <v>547</v>
      </c>
      <c r="S298" t="s">
        <v>46</v>
      </c>
    </row>
    <row r="299" spans="1:19" x14ac:dyDescent="0.35">
      <c r="A299">
        <v>418</v>
      </c>
      <c r="B299" t="s">
        <v>464</v>
      </c>
      <c r="C299" t="s">
        <v>21</v>
      </c>
      <c r="D299" t="s">
        <v>83</v>
      </c>
      <c r="E299" s="9">
        <v>45847</v>
      </c>
      <c r="F299" s="9">
        <v>45857</v>
      </c>
      <c r="G299" s="4" t="str">
        <f>TEXT(Work[[#This Row],[Delivered Date]],"mmm")</f>
        <v>Jul</v>
      </c>
      <c r="H299" s="16">
        <f>MONTH(Work[[#This Row],[Delivered Date]])</f>
        <v>7</v>
      </c>
      <c r="I299" s="1" t="str">
        <f>TEXT(Work[[#This Row],[Delivered Date]],"ddd")</f>
        <v>Sat</v>
      </c>
      <c r="J299" s="4">
        <f>_xlfn.XLOOKUP(Work[[#This Row],[Product Name]],Cost[Product Name],Cost[Cost Percentage],"NA")</f>
        <v>0.8</v>
      </c>
      <c r="K299" s="3">
        <v>342</v>
      </c>
      <c r="L299" s="3">
        <f>Work[[#This Row],[Unit Price]]*Work[[#This Row],[Quantity]]</f>
        <v>2052</v>
      </c>
      <c r="M299" s="3">
        <f>Work[[#This Row],[Revenue]]*Work[[#This Row],[cost percentage]]</f>
        <v>1641.6000000000001</v>
      </c>
      <c r="N299" s="3">
        <f>Work[[#This Row],[Revenue]]-Work[[#This Row],[Cost]]</f>
        <v>410.39999999999986</v>
      </c>
      <c r="O299">
        <v>6</v>
      </c>
      <c r="P299" s="6">
        <f>Work[[#This Row],[Delivered Date]]-Work[[#This Row],[Order Date]]</f>
        <v>10</v>
      </c>
      <c r="Q299" t="s">
        <v>14</v>
      </c>
      <c r="R299" t="s">
        <v>33</v>
      </c>
      <c r="S299" t="s">
        <v>29</v>
      </c>
    </row>
    <row r="300" spans="1:19" x14ac:dyDescent="0.35">
      <c r="A300">
        <v>424</v>
      </c>
      <c r="B300" t="s">
        <v>470</v>
      </c>
      <c r="C300" t="s">
        <v>17</v>
      </c>
      <c r="D300" t="s">
        <v>18</v>
      </c>
      <c r="E300" s="9">
        <v>45835</v>
      </c>
      <c r="F300" s="9">
        <v>45843</v>
      </c>
      <c r="G300" s="4" t="str">
        <f>TEXT(Work[[#This Row],[Delivered Date]],"mmm")</f>
        <v>Jul</v>
      </c>
      <c r="H300" s="16">
        <f>MONTH(Work[[#This Row],[Delivered Date]])</f>
        <v>7</v>
      </c>
      <c r="I300" s="1" t="str">
        <f>TEXT(Work[[#This Row],[Delivered Date]],"ddd")</f>
        <v>Sat</v>
      </c>
      <c r="J300" s="4">
        <f>_xlfn.XLOOKUP(Work[[#This Row],[Product Name]],Cost[Product Name],Cost[Cost Percentage],"NA")</f>
        <v>0.5</v>
      </c>
      <c r="K300" s="3">
        <v>441</v>
      </c>
      <c r="L300" s="3">
        <f>Work[[#This Row],[Unit Price]]*Work[[#This Row],[Quantity]]</f>
        <v>1764</v>
      </c>
      <c r="M300" s="3">
        <f>Work[[#This Row],[Revenue]]*Work[[#This Row],[cost percentage]]</f>
        <v>882</v>
      </c>
      <c r="N300" s="3">
        <f>Work[[#This Row],[Revenue]]-Work[[#This Row],[Cost]]</f>
        <v>882</v>
      </c>
      <c r="O300">
        <v>4</v>
      </c>
      <c r="P300" s="6">
        <f>Work[[#This Row],[Delivered Date]]-Work[[#This Row],[Order Date]]</f>
        <v>8</v>
      </c>
      <c r="Q300" t="s">
        <v>14</v>
      </c>
      <c r="R300" t="s">
        <v>33</v>
      </c>
      <c r="S300" t="s">
        <v>15</v>
      </c>
    </row>
    <row r="301" spans="1:19" x14ac:dyDescent="0.35">
      <c r="A301">
        <v>427</v>
      </c>
      <c r="B301" t="s">
        <v>473</v>
      </c>
      <c r="C301" t="s">
        <v>21</v>
      </c>
      <c r="D301" t="s">
        <v>22</v>
      </c>
      <c r="E301" s="9">
        <v>45862</v>
      </c>
      <c r="F301" s="9">
        <v>45865</v>
      </c>
      <c r="G301" s="4" t="str">
        <f>TEXT(Work[[#This Row],[Delivered Date]],"mmm")</f>
        <v>Jul</v>
      </c>
      <c r="H301" s="16">
        <f>MONTH(Work[[#This Row],[Delivered Date]])</f>
        <v>7</v>
      </c>
      <c r="I301" s="1" t="str">
        <f>TEXT(Work[[#This Row],[Delivered Date]],"ddd")</f>
        <v>Sun</v>
      </c>
      <c r="J301" s="4">
        <f>_xlfn.XLOOKUP(Work[[#This Row],[Product Name]],Cost[Product Name],Cost[Cost Percentage],"NA")</f>
        <v>0.75</v>
      </c>
      <c r="K301" s="3">
        <v>855</v>
      </c>
      <c r="L301" s="3">
        <f>Work[[#This Row],[Unit Price]]*Work[[#This Row],[Quantity]]</f>
        <v>7695</v>
      </c>
      <c r="M301" s="3">
        <f>Work[[#This Row],[Revenue]]*Work[[#This Row],[cost percentage]]</f>
        <v>5771.25</v>
      </c>
      <c r="N301" s="3">
        <f>Work[[#This Row],[Revenue]]-Work[[#This Row],[Cost]]</f>
        <v>1923.75</v>
      </c>
      <c r="O301">
        <v>9</v>
      </c>
      <c r="P301" s="6">
        <f>Work[[#This Row],[Delivered Date]]-Work[[#This Row],[Order Date]]</f>
        <v>3</v>
      </c>
      <c r="Q301" t="s">
        <v>28</v>
      </c>
      <c r="R301" t="s">
        <v>33</v>
      </c>
      <c r="S301" t="s">
        <v>19</v>
      </c>
    </row>
    <row r="302" spans="1:19" x14ac:dyDescent="0.35">
      <c r="A302">
        <v>440</v>
      </c>
      <c r="B302" t="s">
        <v>486</v>
      </c>
      <c r="C302" t="s">
        <v>21</v>
      </c>
      <c r="D302" t="s">
        <v>22</v>
      </c>
      <c r="E302" s="9">
        <v>45839</v>
      </c>
      <c r="F302" s="9">
        <v>45846</v>
      </c>
      <c r="G302" s="4" t="str">
        <f>TEXT(Work[[#This Row],[Delivered Date]],"mmm")</f>
        <v>Jul</v>
      </c>
      <c r="H302" s="16">
        <f>MONTH(Work[[#This Row],[Delivered Date]])</f>
        <v>7</v>
      </c>
      <c r="I302" s="1" t="str">
        <f>TEXT(Work[[#This Row],[Delivered Date]],"ddd")</f>
        <v>Tue</v>
      </c>
      <c r="J302" s="4">
        <f>_xlfn.XLOOKUP(Work[[#This Row],[Product Name]],Cost[Product Name],Cost[Cost Percentage],"NA")</f>
        <v>0.75</v>
      </c>
      <c r="K302" s="3">
        <v>284</v>
      </c>
      <c r="L302" s="3">
        <f>Work[[#This Row],[Unit Price]]*Work[[#This Row],[Quantity]]</f>
        <v>284</v>
      </c>
      <c r="M302" s="3">
        <f>Work[[#This Row],[Revenue]]*Work[[#This Row],[cost percentage]]</f>
        <v>213</v>
      </c>
      <c r="N302" s="3">
        <f>Work[[#This Row],[Revenue]]-Work[[#This Row],[Cost]]</f>
        <v>71</v>
      </c>
      <c r="O302">
        <v>1</v>
      </c>
      <c r="P302" s="6">
        <f>Work[[#This Row],[Delivered Date]]-Work[[#This Row],[Order Date]]</f>
        <v>7</v>
      </c>
      <c r="Q302" t="s">
        <v>14</v>
      </c>
      <c r="R302" t="s">
        <v>550</v>
      </c>
      <c r="S302" t="s">
        <v>46</v>
      </c>
    </row>
    <row r="303" spans="1:19" x14ac:dyDescent="0.35">
      <c r="A303">
        <v>459</v>
      </c>
      <c r="B303" t="s">
        <v>505</v>
      </c>
      <c r="C303" t="s">
        <v>12</v>
      </c>
      <c r="D303" t="s">
        <v>13</v>
      </c>
      <c r="E303" s="9">
        <v>45842</v>
      </c>
      <c r="F303" s="9">
        <v>45844</v>
      </c>
      <c r="G303" s="4" t="str">
        <f>TEXT(Work[[#This Row],[Delivered Date]],"mmm")</f>
        <v>Jul</v>
      </c>
      <c r="H303" s="16">
        <f>MONTH(Work[[#This Row],[Delivered Date]])</f>
        <v>7</v>
      </c>
      <c r="I303" s="1" t="str">
        <f>TEXT(Work[[#This Row],[Delivered Date]],"ddd")</f>
        <v>Sun</v>
      </c>
      <c r="J303" s="4">
        <f>_xlfn.XLOOKUP(Work[[#This Row],[Product Name]],Cost[Product Name],Cost[Cost Percentage],"NA")</f>
        <v>0.75</v>
      </c>
      <c r="K303" s="3">
        <v>674</v>
      </c>
      <c r="L303" s="3">
        <f>Work[[#This Row],[Unit Price]]*Work[[#This Row],[Quantity]]</f>
        <v>6740</v>
      </c>
      <c r="M303" s="3">
        <f>Work[[#This Row],[Revenue]]*Work[[#This Row],[cost percentage]]</f>
        <v>5055</v>
      </c>
      <c r="N303" s="3">
        <f>Work[[#This Row],[Revenue]]-Work[[#This Row],[Cost]]</f>
        <v>1685</v>
      </c>
      <c r="O303">
        <v>10</v>
      </c>
      <c r="P303" s="6">
        <f>Work[[#This Row],[Delivered Date]]-Work[[#This Row],[Order Date]]</f>
        <v>2</v>
      </c>
      <c r="Q303" t="s">
        <v>28</v>
      </c>
      <c r="R303" t="s">
        <v>549</v>
      </c>
      <c r="S303" t="s">
        <v>19</v>
      </c>
    </row>
    <row r="304" spans="1:19" x14ac:dyDescent="0.35">
      <c r="A304">
        <v>477</v>
      </c>
      <c r="B304" t="s">
        <v>523</v>
      </c>
      <c r="C304" t="s">
        <v>31</v>
      </c>
      <c r="D304" t="s">
        <v>42</v>
      </c>
      <c r="E304" s="9">
        <v>45855</v>
      </c>
      <c r="F304" s="9">
        <v>45861</v>
      </c>
      <c r="G304" s="4" t="str">
        <f>TEXT(Work[[#This Row],[Delivered Date]],"mmm")</f>
        <v>Jul</v>
      </c>
      <c r="H304" s="16">
        <f>MONTH(Work[[#This Row],[Delivered Date]])</f>
        <v>7</v>
      </c>
      <c r="I304" s="1" t="str">
        <f>TEXT(Work[[#This Row],[Delivered Date]],"ddd")</f>
        <v>Wed</v>
      </c>
      <c r="J304" s="4">
        <f>_xlfn.XLOOKUP(Work[[#This Row],[Product Name]],Cost[Product Name],Cost[Cost Percentage],"NA")</f>
        <v>0.65</v>
      </c>
      <c r="K304" s="3">
        <v>420</v>
      </c>
      <c r="L304" s="3">
        <f>Work[[#This Row],[Unit Price]]*Work[[#This Row],[Quantity]]</f>
        <v>840</v>
      </c>
      <c r="M304" s="3">
        <f>Work[[#This Row],[Revenue]]*Work[[#This Row],[cost percentage]]</f>
        <v>546</v>
      </c>
      <c r="N304" s="3">
        <f>Work[[#This Row],[Revenue]]-Work[[#This Row],[Cost]]</f>
        <v>294</v>
      </c>
      <c r="O304">
        <v>2</v>
      </c>
      <c r="P304" s="6">
        <f>Work[[#This Row],[Delivered Date]]-Work[[#This Row],[Order Date]]</f>
        <v>6</v>
      </c>
      <c r="Q304" t="s">
        <v>14</v>
      </c>
      <c r="R304" t="s">
        <v>549</v>
      </c>
      <c r="S304" t="s">
        <v>46</v>
      </c>
    </row>
    <row r="305" spans="1:19" x14ac:dyDescent="0.35">
      <c r="A305">
        <v>516</v>
      </c>
      <c r="B305" t="s">
        <v>84</v>
      </c>
      <c r="C305" t="s">
        <v>17</v>
      </c>
      <c r="D305" t="s">
        <v>44</v>
      </c>
      <c r="E305" s="9">
        <v>45844</v>
      </c>
      <c r="F305" s="9">
        <v>45852</v>
      </c>
      <c r="G305" s="4" t="str">
        <f>TEXT(Work[[#This Row],[Delivered Date]],"mmm")</f>
        <v>Jul</v>
      </c>
      <c r="H305" s="16">
        <f>MONTH(Work[[#This Row],[Delivered Date]])</f>
        <v>7</v>
      </c>
      <c r="I305" s="1" t="str">
        <f>TEXT(Work[[#This Row],[Delivered Date]],"ddd")</f>
        <v>Mon</v>
      </c>
      <c r="J305" s="4">
        <f>_xlfn.XLOOKUP(Work[[#This Row],[Product Name]],Cost[Product Name],Cost[Cost Percentage],"NA")</f>
        <v>0.6</v>
      </c>
      <c r="K305" s="3">
        <v>256</v>
      </c>
      <c r="L305" s="3">
        <f>Work[[#This Row],[Unit Price]]*Work[[#This Row],[Quantity]]</f>
        <v>256</v>
      </c>
      <c r="M305" s="3">
        <f>Work[[#This Row],[Revenue]]*Work[[#This Row],[cost percentage]]</f>
        <v>153.6</v>
      </c>
      <c r="N305" s="3">
        <f>Work[[#This Row],[Revenue]]-Work[[#This Row],[Cost]]</f>
        <v>102.4</v>
      </c>
      <c r="O305">
        <v>1</v>
      </c>
      <c r="P305" s="6">
        <f>Work[[#This Row],[Delivered Date]]-Work[[#This Row],[Order Date]]</f>
        <v>8</v>
      </c>
      <c r="Q305" t="s">
        <v>14</v>
      </c>
      <c r="R305" t="s">
        <v>33</v>
      </c>
      <c r="S305" t="s">
        <v>46</v>
      </c>
    </row>
    <row r="306" spans="1:19" x14ac:dyDescent="0.35">
      <c r="A306">
        <v>537</v>
      </c>
      <c r="B306" t="s">
        <v>107</v>
      </c>
      <c r="C306" t="s">
        <v>31</v>
      </c>
      <c r="D306" t="s">
        <v>42</v>
      </c>
      <c r="E306" s="9">
        <v>45857</v>
      </c>
      <c r="F306" s="9">
        <v>45863</v>
      </c>
      <c r="G306" s="4" t="str">
        <f>TEXT(Work[[#This Row],[Delivered Date]],"mmm")</f>
        <v>Jul</v>
      </c>
      <c r="H306" s="16">
        <f>MONTH(Work[[#This Row],[Delivered Date]])</f>
        <v>7</v>
      </c>
      <c r="I306" s="1" t="str">
        <f>TEXT(Work[[#This Row],[Delivered Date]],"ddd")</f>
        <v>Fri</v>
      </c>
      <c r="J306" s="4">
        <f>_xlfn.XLOOKUP(Work[[#This Row],[Product Name]],Cost[Product Name],Cost[Cost Percentage],"NA")</f>
        <v>0.65</v>
      </c>
      <c r="K306" s="3">
        <v>82</v>
      </c>
      <c r="L306" s="3">
        <f>Work[[#This Row],[Unit Price]]*Work[[#This Row],[Quantity]]</f>
        <v>328</v>
      </c>
      <c r="M306" s="3">
        <f>Work[[#This Row],[Revenue]]*Work[[#This Row],[cost percentage]]</f>
        <v>213.20000000000002</v>
      </c>
      <c r="N306" s="3">
        <f>Work[[#This Row],[Revenue]]-Work[[#This Row],[Cost]]</f>
        <v>114.79999999999998</v>
      </c>
      <c r="O306">
        <v>4</v>
      </c>
      <c r="P306" s="6">
        <f>Work[[#This Row],[Delivered Date]]-Work[[#This Row],[Order Date]]</f>
        <v>6</v>
      </c>
      <c r="Q306" t="s">
        <v>28</v>
      </c>
      <c r="R306" t="s">
        <v>550</v>
      </c>
      <c r="S306" t="s">
        <v>15</v>
      </c>
    </row>
    <row r="307" spans="1:19" x14ac:dyDescent="0.35">
      <c r="A307">
        <v>22</v>
      </c>
      <c r="B307" t="s">
        <v>59</v>
      </c>
      <c r="C307" t="s">
        <v>17</v>
      </c>
      <c r="D307" t="s">
        <v>60</v>
      </c>
      <c r="E307" s="9">
        <v>45508</v>
      </c>
      <c r="F307" s="9">
        <v>45520</v>
      </c>
      <c r="G307" s="4" t="str">
        <f>TEXT(Work[[#This Row],[Delivered Date]],"mmm")</f>
        <v>Aug</v>
      </c>
      <c r="H307" s="16">
        <f>MONTH(Work[[#This Row],[Delivered Date]])</f>
        <v>8</v>
      </c>
      <c r="I307" s="1" t="str">
        <f>TEXT(Work[[#This Row],[Delivered Date]],"ddd")</f>
        <v>Fri</v>
      </c>
      <c r="J307" s="4">
        <f>_xlfn.XLOOKUP(Work[[#This Row],[Product Name]],Cost[Product Name],Cost[Cost Percentage],"NA")</f>
        <v>0.65</v>
      </c>
      <c r="K307" s="3">
        <v>961</v>
      </c>
      <c r="L307" s="3">
        <f>Work[[#This Row],[Unit Price]]*Work[[#This Row],[Quantity]]</f>
        <v>3844</v>
      </c>
      <c r="M307" s="3">
        <f>Work[[#This Row],[Revenue]]*Work[[#This Row],[cost percentage]]</f>
        <v>2498.6</v>
      </c>
      <c r="N307" s="3">
        <f>Work[[#This Row],[Revenue]]-Work[[#This Row],[Cost]]</f>
        <v>1345.4</v>
      </c>
      <c r="O307">
        <v>4</v>
      </c>
      <c r="P307" s="6">
        <f>Work[[#This Row],[Delivered Date]]-Work[[#This Row],[Order Date]]</f>
        <v>12</v>
      </c>
      <c r="Q307" t="s">
        <v>28</v>
      </c>
      <c r="R307" t="s">
        <v>33</v>
      </c>
      <c r="S307" t="s">
        <v>15</v>
      </c>
    </row>
    <row r="308" spans="1:19" x14ac:dyDescent="0.35">
      <c r="A308">
        <v>27</v>
      </c>
      <c r="B308" t="s">
        <v>66</v>
      </c>
      <c r="C308" t="s">
        <v>24</v>
      </c>
      <c r="D308" t="s">
        <v>38</v>
      </c>
      <c r="E308" s="9">
        <v>45531</v>
      </c>
      <c r="F308" s="9">
        <v>45534</v>
      </c>
      <c r="G308" s="4" t="str">
        <f>TEXT(Work[[#This Row],[Delivered Date]],"mmm")</f>
        <v>Aug</v>
      </c>
      <c r="H308" s="16">
        <f>MONTH(Work[[#This Row],[Delivered Date]])</f>
        <v>8</v>
      </c>
      <c r="I308" s="1" t="str">
        <f>TEXT(Work[[#This Row],[Delivered Date]],"ddd")</f>
        <v>Fri</v>
      </c>
      <c r="J308" s="4">
        <f>_xlfn.XLOOKUP(Work[[#This Row],[Product Name]],Cost[Product Name],Cost[Cost Percentage],"NA")</f>
        <v>0.5</v>
      </c>
      <c r="K308" s="3">
        <v>200</v>
      </c>
      <c r="L308" s="3">
        <f>Work[[#This Row],[Unit Price]]*Work[[#This Row],[Quantity]]</f>
        <v>200</v>
      </c>
      <c r="M308" s="3">
        <f>Work[[#This Row],[Revenue]]*Work[[#This Row],[cost percentage]]</f>
        <v>100</v>
      </c>
      <c r="N308" s="3">
        <f>Work[[#This Row],[Revenue]]-Work[[#This Row],[Cost]]</f>
        <v>100</v>
      </c>
      <c r="O308">
        <v>1</v>
      </c>
      <c r="P308" s="6">
        <f>Work[[#This Row],[Delivered Date]]-Work[[#This Row],[Order Date]]</f>
        <v>3</v>
      </c>
      <c r="Q308" t="s">
        <v>14</v>
      </c>
      <c r="R308" t="s">
        <v>33</v>
      </c>
      <c r="S308" t="s">
        <v>46</v>
      </c>
    </row>
    <row r="309" spans="1:19" x14ac:dyDescent="0.35">
      <c r="A309">
        <v>42</v>
      </c>
      <c r="B309" t="s">
        <v>85</v>
      </c>
      <c r="C309" t="s">
        <v>31</v>
      </c>
      <c r="D309" t="s">
        <v>42</v>
      </c>
      <c r="E309" s="9">
        <v>45518</v>
      </c>
      <c r="F309" s="9">
        <v>45525</v>
      </c>
      <c r="G309" s="4" t="str">
        <f>TEXT(Work[[#This Row],[Delivered Date]],"mmm")</f>
        <v>Aug</v>
      </c>
      <c r="H309" s="16">
        <f>MONTH(Work[[#This Row],[Delivered Date]])</f>
        <v>8</v>
      </c>
      <c r="I309" s="1" t="str">
        <f>TEXT(Work[[#This Row],[Delivered Date]],"ddd")</f>
        <v>Wed</v>
      </c>
      <c r="J309" s="4">
        <f>_xlfn.XLOOKUP(Work[[#This Row],[Product Name]],Cost[Product Name],Cost[Cost Percentage],"NA")</f>
        <v>0.65</v>
      </c>
      <c r="K309" s="3">
        <v>732</v>
      </c>
      <c r="L309" s="3">
        <f>Work[[#This Row],[Unit Price]]*Work[[#This Row],[Quantity]]</f>
        <v>6588</v>
      </c>
      <c r="M309" s="3">
        <f>Work[[#This Row],[Revenue]]*Work[[#This Row],[cost percentage]]</f>
        <v>4282.2</v>
      </c>
      <c r="N309" s="3">
        <f>Work[[#This Row],[Revenue]]-Work[[#This Row],[Cost]]</f>
        <v>2305.8000000000002</v>
      </c>
      <c r="O309">
        <v>9</v>
      </c>
      <c r="P309" s="6">
        <f>Work[[#This Row],[Delivered Date]]-Work[[#This Row],[Order Date]]</f>
        <v>7</v>
      </c>
      <c r="Q309" t="s">
        <v>14</v>
      </c>
      <c r="R309" t="s">
        <v>550</v>
      </c>
      <c r="S309" t="s">
        <v>29</v>
      </c>
    </row>
    <row r="310" spans="1:19" x14ac:dyDescent="0.35">
      <c r="A310">
        <v>44</v>
      </c>
      <c r="B310" t="s">
        <v>87</v>
      </c>
      <c r="C310" t="s">
        <v>17</v>
      </c>
      <c r="D310" t="s">
        <v>64</v>
      </c>
      <c r="E310" s="9">
        <v>45512</v>
      </c>
      <c r="F310" s="9">
        <v>45516</v>
      </c>
      <c r="G310" s="4" t="str">
        <f>TEXT(Work[[#This Row],[Delivered Date]],"mmm")</f>
        <v>Aug</v>
      </c>
      <c r="H310" s="16">
        <f>MONTH(Work[[#This Row],[Delivered Date]])</f>
        <v>8</v>
      </c>
      <c r="I310" s="1" t="str">
        <f>TEXT(Work[[#This Row],[Delivered Date]],"ddd")</f>
        <v>Mon</v>
      </c>
      <c r="J310" s="4">
        <f>_xlfn.XLOOKUP(Work[[#This Row],[Product Name]],Cost[Product Name],Cost[Cost Percentage],"NA")</f>
        <v>0.5</v>
      </c>
      <c r="K310" s="3">
        <v>52</v>
      </c>
      <c r="L310" s="3">
        <f>Work[[#This Row],[Unit Price]]*Work[[#This Row],[Quantity]]</f>
        <v>156</v>
      </c>
      <c r="M310" s="3">
        <f>Work[[#This Row],[Revenue]]*Work[[#This Row],[cost percentage]]</f>
        <v>78</v>
      </c>
      <c r="N310" s="3">
        <f>Work[[#This Row],[Revenue]]-Work[[#This Row],[Cost]]</f>
        <v>78</v>
      </c>
      <c r="O310">
        <v>3</v>
      </c>
      <c r="P310" s="6">
        <f>Work[[#This Row],[Delivered Date]]-Work[[#This Row],[Order Date]]</f>
        <v>4</v>
      </c>
      <c r="Q310" t="s">
        <v>14</v>
      </c>
      <c r="R310" t="s">
        <v>547</v>
      </c>
      <c r="S310" t="s">
        <v>46</v>
      </c>
    </row>
    <row r="311" spans="1:19" x14ac:dyDescent="0.35">
      <c r="A311">
        <v>49</v>
      </c>
      <c r="B311" t="s">
        <v>92</v>
      </c>
      <c r="C311" t="s">
        <v>21</v>
      </c>
      <c r="D311" t="s">
        <v>83</v>
      </c>
      <c r="E311" s="9">
        <v>45512</v>
      </c>
      <c r="F311" s="9">
        <v>45519</v>
      </c>
      <c r="G311" s="4" t="str">
        <f>TEXT(Work[[#This Row],[Delivered Date]],"mmm")</f>
        <v>Aug</v>
      </c>
      <c r="H311" s="16">
        <f>MONTH(Work[[#This Row],[Delivered Date]])</f>
        <v>8</v>
      </c>
      <c r="I311" s="1" t="str">
        <f>TEXT(Work[[#This Row],[Delivered Date]],"ddd")</f>
        <v>Thu</v>
      </c>
      <c r="J311" s="4">
        <f>_xlfn.XLOOKUP(Work[[#This Row],[Product Name]],Cost[Product Name],Cost[Cost Percentage],"NA")</f>
        <v>0.8</v>
      </c>
      <c r="K311" s="3">
        <v>981</v>
      </c>
      <c r="L311" s="3">
        <f>Work[[#This Row],[Unit Price]]*Work[[#This Row],[Quantity]]</f>
        <v>1962</v>
      </c>
      <c r="M311" s="3">
        <f>Work[[#This Row],[Revenue]]*Work[[#This Row],[cost percentage]]</f>
        <v>1569.6000000000001</v>
      </c>
      <c r="N311" s="3">
        <f>Work[[#This Row],[Revenue]]-Work[[#This Row],[Cost]]</f>
        <v>392.39999999999986</v>
      </c>
      <c r="O311">
        <v>2</v>
      </c>
      <c r="P311" s="6">
        <f>Work[[#This Row],[Delivered Date]]-Work[[#This Row],[Order Date]]</f>
        <v>7</v>
      </c>
      <c r="Q311" t="s">
        <v>28</v>
      </c>
      <c r="R311" t="s">
        <v>33</v>
      </c>
      <c r="S311" t="s">
        <v>19</v>
      </c>
    </row>
    <row r="312" spans="1:19" x14ac:dyDescent="0.35">
      <c r="A312">
        <v>57</v>
      </c>
      <c r="B312" t="s">
        <v>102</v>
      </c>
      <c r="C312" t="s">
        <v>21</v>
      </c>
      <c r="D312" t="s">
        <v>22</v>
      </c>
      <c r="E312" s="9">
        <v>45522</v>
      </c>
      <c r="F312" s="9">
        <v>45532</v>
      </c>
      <c r="G312" s="4" t="str">
        <f>TEXT(Work[[#This Row],[Delivered Date]],"mmm")</f>
        <v>Aug</v>
      </c>
      <c r="H312" s="16">
        <f>MONTH(Work[[#This Row],[Delivered Date]])</f>
        <v>8</v>
      </c>
      <c r="I312" s="1" t="str">
        <f>TEXT(Work[[#This Row],[Delivered Date]],"ddd")</f>
        <v>Wed</v>
      </c>
      <c r="J312" s="4">
        <f>_xlfn.XLOOKUP(Work[[#This Row],[Product Name]],Cost[Product Name],Cost[Cost Percentage],"NA")</f>
        <v>0.75</v>
      </c>
      <c r="K312" s="3">
        <v>779</v>
      </c>
      <c r="L312" s="3">
        <f>Work[[#This Row],[Unit Price]]*Work[[#This Row],[Quantity]]</f>
        <v>3895</v>
      </c>
      <c r="M312" s="3">
        <f>Work[[#This Row],[Revenue]]*Work[[#This Row],[cost percentage]]</f>
        <v>2921.25</v>
      </c>
      <c r="N312" s="3">
        <f>Work[[#This Row],[Revenue]]-Work[[#This Row],[Cost]]</f>
        <v>973.75</v>
      </c>
      <c r="O312">
        <v>5</v>
      </c>
      <c r="P312" s="6">
        <f>Work[[#This Row],[Delivered Date]]-Work[[#This Row],[Order Date]]</f>
        <v>10</v>
      </c>
      <c r="Q312" t="s">
        <v>28</v>
      </c>
      <c r="R312" t="s">
        <v>551</v>
      </c>
      <c r="S312" t="s">
        <v>29</v>
      </c>
    </row>
    <row r="313" spans="1:19" x14ac:dyDescent="0.35">
      <c r="A313">
        <v>60</v>
      </c>
      <c r="B313" t="s">
        <v>105</v>
      </c>
      <c r="C313" t="s">
        <v>21</v>
      </c>
      <c r="D313" t="s">
        <v>83</v>
      </c>
      <c r="E313" s="9">
        <v>45515</v>
      </c>
      <c r="F313" s="9">
        <v>45529</v>
      </c>
      <c r="G313" s="4" t="str">
        <f>TEXT(Work[[#This Row],[Delivered Date]],"mmm")</f>
        <v>Aug</v>
      </c>
      <c r="H313" s="16">
        <f>MONTH(Work[[#This Row],[Delivered Date]])</f>
        <v>8</v>
      </c>
      <c r="I313" s="1" t="str">
        <f>TEXT(Work[[#This Row],[Delivered Date]],"ddd")</f>
        <v>Sun</v>
      </c>
      <c r="J313" s="4">
        <f>_xlfn.XLOOKUP(Work[[#This Row],[Product Name]],Cost[Product Name],Cost[Cost Percentage],"NA")</f>
        <v>0.8</v>
      </c>
      <c r="K313" s="3">
        <v>39</v>
      </c>
      <c r="L313" s="3">
        <f>Work[[#This Row],[Unit Price]]*Work[[#This Row],[Quantity]]</f>
        <v>312</v>
      </c>
      <c r="M313" s="3">
        <f>Work[[#This Row],[Revenue]]*Work[[#This Row],[cost percentage]]</f>
        <v>249.60000000000002</v>
      </c>
      <c r="N313" s="3">
        <f>Work[[#This Row],[Revenue]]-Work[[#This Row],[Cost]]</f>
        <v>62.399999999999977</v>
      </c>
      <c r="O313">
        <v>8</v>
      </c>
      <c r="P313" s="6">
        <f>Work[[#This Row],[Delivered Date]]-Work[[#This Row],[Order Date]]</f>
        <v>14</v>
      </c>
      <c r="Q313" t="s">
        <v>28</v>
      </c>
      <c r="R313" t="s">
        <v>550</v>
      </c>
      <c r="S313" t="s">
        <v>19</v>
      </c>
    </row>
    <row r="314" spans="1:19" x14ac:dyDescent="0.35">
      <c r="A314">
        <v>69</v>
      </c>
      <c r="B314" t="s">
        <v>114</v>
      </c>
      <c r="C314" t="s">
        <v>24</v>
      </c>
      <c r="D314" t="s">
        <v>115</v>
      </c>
      <c r="E314" s="9">
        <v>45513</v>
      </c>
      <c r="F314" s="9">
        <v>45519</v>
      </c>
      <c r="G314" s="4" t="str">
        <f>TEXT(Work[[#This Row],[Delivered Date]],"mmm")</f>
        <v>Aug</v>
      </c>
      <c r="H314" s="16">
        <f>MONTH(Work[[#This Row],[Delivered Date]])</f>
        <v>8</v>
      </c>
      <c r="I314" s="1" t="str">
        <f>TEXT(Work[[#This Row],[Delivered Date]],"ddd")</f>
        <v>Thu</v>
      </c>
      <c r="J314" s="4">
        <f>_xlfn.XLOOKUP(Work[[#This Row],[Product Name]],Cost[Product Name],Cost[Cost Percentage],"NA")</f>
        <v>0.6</v>
      </c>
      <c r="K314" s="3">
        <v>660</v>
      </c>
      <c r="L314" s="3">
        <f>Work[[#This Row],[Unit Price]]*Work[[#This Row],[Quantity]]</f>
        <v>3960</v>
      </c>
      <c r="M314" s="3">
        <f>Work[[#This Row],[Revenue]]*Work[[#This Row],[cost percentage]]</f>
        <v>2376</v>
      </c>
      <c r="N314" s="3">
        <f>Work[[#This Row],[Revenue]]-Work[[#This Row],[Cost]]</f>
        <v>1584</v>
      </c>
      <c r="O314">
        <v>6</v>
      </c>
      <c r="P314" s="6">
        <f>Work[[#This Row],[Delivered Date]]-Work[[#This Row],[Order Date]]</f>
        <v>6</v>
      </c>
      <c r="Q314" t="s">
        <v>28</v>
      </c>
      <c r="R314" t="s">
        <v>549</v>
      </c>
      <c r="S314" t="s">
        <v>19</v>
      </c>
    </row>
    <row r="315" spans="1:19" x14ac:dyDescent="0.35">
      <c r="A315">
        <v>84</v>
      </c>
      <c r="B315" t="s">
        <v>130</v>
      </c>
      <c r="C315" t="s">
        <v>17</v>
      </c>
      <c r="D315" t="s">
        <v>56</v>
      </c>
      <c r="E315" s="9">
        <v>45516</v>
      </c>
      <c r="F315" s="9">
        <v>45521</v>
      </c>
      <c r="G315" s="4" t="str">
        <f>TEXT(Work[[#This Row],[Delivered Date]],"mmm")</f>
        <v>Aug</v>
      </c>
      <c r="H315" s="16">
        <f>MONTH(Work[[#This Row],[Delivered Date]])</f>
        <v>8</v>
      </c>
      <c r="I315" s="1" t="str">
        <f>TEXT(Work[[#This Row],[Delivered Date]],"ddd")</f>
        <v>Sat</v>
      </c>
      <c r="J315" s="4">
        <f>_xlfn.XLOOKUP(Work[[#This Row],[Product Name]],Cost[Product Name],Cost[Cost Percentage],"NA")</f>
        <v>0.55000000000000004</v>
      </c>
      <c r="K315" s="3">
        <v>489</v>
      </c>
      <c r="L315" s="3">
        <f>Work[[#This Row],[Unit Price]]*Work[[#This Row],[Quantity]]</f>
        <v>978</v>
      </c>
      <c r="M315" s="3">
        <f>Work[[#This Row],[Revenue]]*Work[[#This Row],[cost percentage]]</f>
        <v>537.90000000000009</v>
      </c>
      <c r="N315" s="3">
        <f>Work[[#This Row],[Revenue]]-Work[[#This Row],[Cost]]</f>
        <v>440.09999999999991</v>
      </c>
      <c r="O315">
        <v>2</v>
      </c>
      <c r="P315" s="6">
        <f>Work[[#This Row],[Delivered Date]]-Work[[#This Row],[Order Date]]</f>
        <v>5</v>
      </c>
      <c r="Q315" t="s">
        <v>28</v>
      </c>
      <c r="R315" t="s">
        <v>33</v>
      </c>
      <c r="S315" t="s">
        <v>29</v>
      </c>
    </row>
    <row r="316" spans="1:19" x14ac:dyDescent="0.35">
      <c r="A316">
        <v>88</v>
      </c>
      <c r="B316" t="s">
        <v>134</v>
      </c>
      <c r="C316" t="s">
        <v>24</v>
      </c>
      <c r="D316" t="s">
        <v>25</v>
      </c>
      <c r="E316" s="9">
        <v>45501</v>
      </c>
      <c r="F316" s="9">
        <v>45505</v>
      </c>
      <c r="G316" s="4" t="str">
        <f>TEXT(Work[[#This Row],[Delivered Date]],"mmm")</f>
        <v>Aug</v>
      </c>
      <c r="H316" s="16">
        <f>MONTH(Work[[#This Row],[Delivered Date]])</f>
        <v>8</v>
      </c>
      <c r="I316" s="1" t="str">
        <f>TEXT(Work[[#This Row],[Delivered Date]],"ddd")</f>
        <v>Thu</v>
      </c>
      <c r="J316" s="4">
        <f>_xlfn.XLOOKUP(Work[[#This Row],[Product Name]],Cost[Product Name],Cost[Cost Percentage],"NA")</f>
        <v>0.55000000000000004</v>
      </c>
      <c r="K316" s="3">
        <v>338</v>
      </c>
      <c r="L316" s="3">
        <f>Work[[#This Row],[Unit Price]]*Work[[#This Row],[Quantity]]</f>
        <v>2028</v>
      </c>
      <c r="M316" s="3">
        <f>Work[[#This Row],[Revenue]]*Work[[#This Row],[cost percentage]]</f>
        <v>1115.4000000000001</v>
      </c>
      <c r="N316" s="3">
        <f>Work[[#This Row],[Revenue]]-Work[[#This Row],[Cost]]</f>
        <v>912.59999999999991</v>
      </c>
      <c r="O316">
        <v>6</v>
      </c>
      <c r="P316" s="6">
        <f>Work[[#This Row],[Delivered Date]]-Work[[#This Row],[Order Date]]</f>
        <v>4</v>
      </c>
      <c r="Q316" t="s">
        <v>14</v>
      </c>
      <c r="R316" t="s">
        <v>33</v>
      </c>
      <c r="S316" t="s">
        <v>15</v>
      </c>
    </row>
    <row r="317" spans="1:19" x14ac:dyDescent="0.35">
      <c r="A317">
        <v>102</v>
      </c>
      <c r="B317" t="s">
        <v>148</v>
      </c>
      <c r="C317" t="s">
        <v>21</v>
      </c>
      <c r="D317" t="s">
        <v>52</v>
      </c>
      <c r="E317" s="9">
        <v>45502</v>
      </c>
      <c r="F317" s="9">
        <v>45513</v>
      </c>
      <c r="G317" s="4" t="str">
        <f>TEXT(Work[[#This Row],[Delivered Date]],"mmm")</f>
        <v>Aug</v>
      </c>
      <c r="H317" s="16">
        <f>MONTH(Work[[#This Row],[Delivered Date]])</f>
        <v>8</v>
      </c>
      <c r="I317" s="1" t="str">
        <f>TEXT(Work[[#This Row],[Delivered Date]],"ddd")</f>
        <v>Fri</v>
      </c>
      <c r="J317" s="4">
        <f>_xlfn.XLOOKUP(Work[[#This Row],[Product Name]],Cost[Product Name],Cost[Cost Percentage],"NA")</f>
        <v>0.7</v>
      </c>
      <c r="K317" s="3">
        <v>708</v>
      </c>
      <c r="L317" s="3">
        <f>Work[[#This Row],[Unit Price]]*Work[[#This Row],[Quantity]]</f>
        <v>7080</v>
      </c>
      <c r="M317" s="3">
        <f>Work[[#This Row],[Revenue]]*Work[[#This Row],[cost percentage]]</f>
        <v>4956</v>
      </c>
      <c r="N317" s="3">
        <f>Work[[#This Row],[Revenue]]-Work[[#This Row],[Cost]]</f>
        <v>2124</v>
      </c>
      <c r="O317">
        <v>10</v>
      </c>
      <c r="P317" s="6">
        <f>Work[[#This Row],[Delivered Date]]-Work[[#This Row],[Order Date]]</f>
        <v>11</v>
      </c>
      <c r="Q317" t="s">
        <v>14</v>
      </c>
      <c r="R317" t="s">
        <v>549</v>
      </c>
      <c r="S317" t="s">
        <v>29</v>
      </c>
    </row>
    <row r="318" spans="1:19" x14ac:dyDescent="0.35">
      <c r="A318">
        <v>107</v>
      </c>
      <c r="B318" t="s">
        <v>153</v>
      </c>
      <c r="C318" t="s">
        <v>17</v>
      </c>
      <c r="D318" t="s">
        <v>18</v>
      </c>
      <c r="E318" s="9">
        <v>45524</v>
      </c>
      <c r="F318" s="9">
        <v>45534</v>
      </c>
      <c r="G318" s="4" t="str">
        <f>TEXT(Work[[#This Row],[Delivered Date]],"mmm")</f>
        <v>Aug</v>
      </c>
      <c r="H318" s="16">
        <f>MONTH(Work[[#This Row],[Delivered Date]])</f>
        <v>8</v>
      </c>
      <c r="I318" s="1" t="str">
        <f>TEXT(Work[[#This Row],[Delivered Date]],"ddd")</f>
        <v>Fri</v>
      </c>
      <c r="J318" s="4">
        <f>_xlfn.XLOOKUP(Work[[#This Row],[Product Name]],Cost[Product Name],Cost[Cost Percentage],"NA")</f>
        <v>0.5</v>
      </c>
      <c r="K318" s="3">
        <v>698</v>
      </c>
      <c r="L318" s="3">
        <f>Work[[#This Row],[Unit Price]]*Work[[#This Row],[Quantity]]</f>
        <v>4188</v>
      </c>
      <c r="M318" s="3">
        <f>Work[[#This Row],[Revenue]]*Work[[#This Row],[cost percentage]]</f>
        <v>2094</v>
      </c>
      <c r="N318" s="3">
        <f>Work[[#This Row],[Revenue]]-Work[[#This Row],[Cost]]</f>
        <v>2094</v>
      </c>
      <c r="O318">
        <v>6</v>
      </c>
      <c r="P318" s="6">
        <f>Work[[#This Row],[Delivered Date]]-Work[[#This Row],[Order Date]]</f>
        <v>10</v>
      </c>
      <c r="Q318" t="s">
        <v>28</v>
      </c>
      <c r="R318" t="s">
        <v>33</v>
      </c>
      <c r="S318" t="s">
        <v>29</v>
      </c>
    </row>
    <row r="319" spans="1:19" x14ac:dyDescent="0.35">
      <c r="A319">
        <v>118</v>
      </c>
      <c r="B319" t="s">
        <v>164</v>
      </c>
      <c r="C319" t="s">
        <v>24</v>
      </c>
      <c r="D319" t="s">
        <v>38</v>
      </c>
      <c r="E319" s="9">
        <v>45510</v>
      </c>
      <c r="F319" s="9">
        <v>45521</v>
      </c>
      <c r="G319" s="4" t="str">
        <f>TEXT(Work[[#This Row],[Delivered Date]],"mmm")</f>
        <v>Aug</v>
      </c>
      <c r="H319" s="16">
        <f>MONTH(Work[[#This Row],[Delivered Date]])</f>
        <v>8</v>
      </c>
      <c r="I319" s="1" t="str">
        <f>TEXT(Work[[#This Row],[Delivered Date]],"ddd")</f>
        <v>Sat</v>
      </c>
      <c r="J319" s="4">
        <f>_xlfn.XLOOKUP(Work[[#This Row],[Product Name]],Cost[Product Name],Cost[Cost Percentage],"NA")</f>
        <v>0.5</v>
      </c>
      <c r="K319" s="3">
        <v>512</v>
      </c>
      <c r="L319" s="3">
        <f>Work[[#This Row],[Unit Price]]*Work[[#This Row],[Quantity]]</f>
        <v>1024</v>
      </c>
      <c r="M319" s="3">
        <f>Work[[#This Row],[Revenue]]*Work[[#This Row],[cost percentage]]</f>
        <v>512</v>
      </c>
      <c r="N319" s="3">
        <f>Work[[#This Row],[Revenue]]-Work[[#This Row],[Cost]]</f>
        <v>512</v>
      </c>
      <c r="O319">
        <v>2</v>
      </c>
      <c r="P319" s="6">
        <f>Work[[#This Row],[Delivered Date]]-Work[[#This Row],[Order Date]]</f>
        <v>11</v>
      </c>
      <c r="Q319" t="s">
        <v>14</v>
      </c>
      <c r="R319" t="s">
        <v>33</v>
      </c>
      <c r="S319" t="s">
        <v>15</v>
      </c>
    </row>
    <row r="320" spans="1:19" x14ac:dyDescent="0.35">
      <c r="A320">
        <v>121</v>
      </c>
      <c r="B320" t="s">
        <v>167</v>
      </c>
      <c r="C320" t="s">
        <v>24</v>
      </c>
      <c r="D320" t="s">
        <v>38</v>
      </c>
      <c r="E320" s="9">
        <v>45504</v>
      </c>
      <c r="F320" s="9">
        <v>45509</v>
      </c>
      <c r="G320" s="4" t="str">
        <f>TEXT(Work[[#This Row],[Delivered Date]],"mmm")</f>
        <v>Aug</v>
      </c>
      <c r="H320" s="16">
        <f>MONTH(Work[[#This Row],[Delivered Date]])</f>
        <v>8</v>
      </c>
      <c r="I320" s="1" t="str">
        <f>TEXT(Work[[#This Row],[Delivered Date]],"ddd")</f>
        <v>Mon</v>
      </c>
      <c r="J320" s="4">
        <f>_xlfn.XLOOKUP(Work[[#This Row],[Product Name]],Cost[Product Name],Cost[Cost Percentage],"NA")</f>
        <v>0.5</v>
      </c>
      <c r="K320" s="3">
        <v>330</v>
      </c>
      <c r="L320" s="3">
        <f>Work[[#This Row],[Unit Price]]*Work[[#This Row],[Quantity]]</f>
        <v>660</v>
      </c>
      <c r="M320" s="3">
        <f>Work[[#This Row],[Revenue]]*Work[[#This Row],[cost percentage]]</f>
        <v>330</v>
      </c>
      <c r="N320" s="3">
        <f>Work[[#This Row],[Revenue]]-Work[[#This Row],[Cost]]</f>
        <v>330</v>
      </c>
      <c r="O320">
        <v>2</v>
      </c>
      <c r="P320" s="6">
        <f>Work[[#This Row],[Delivered Date]]-Work[[#This Row],[Order Date]]</f>
        <v>5</v>
      </c>
      <c r="Q320" t="s">
        <v>28</v>
      </c>
      <c r="R320" t="s">
        <v>550</v>
      </c>
      <c r="S320" t="s">
        <v>46</v>
      </c>
    </row>
    <row r="321" spans="1:19" x14ac:dyDescent="0.35">
      <c r="A321">
        <v>131</v>
      </c>
      <c r="B321" t="s">
        <v>177</v>
      </c>
      <c r="C321" t="s">
        <v>17</v>
      </c>
      <c r="D321" t="s">
        <v>44</v>
      </c>
      <c r="E321" s="9">
        <v>45504</v>
      </c>
      <c r="F321" s="9">
        <v>45507</v>
      </c>
      <c r="G321" s="4" t="str">
        <f>TEXT(Work[[#This Row],[Delivered Date]],"mmm")</f>
        <v>Aug</v>
      </c>
      <c r="H321" s="16">
        <f>MONTH(Work[[#This Row],[Delivered Date]])</f>
        <v>8</v>
      </c>
      <c r="I321" s="1" t="str">
        <f>TEXT(Work[[#This Row],[Delivered Date]],"ddd")</f>
        <v>Sat</v>
      </c>
      <c r="J321" s="4">
        <f>_xlfn.XLOOKUP(Work[[#This Row],[Product Name]],Cost[Product Name],Cost[Cost Percentage],"NA")</f>
        <v>0.6</v>
      </c>
      <c r="K321" s="3">
        <v>230</v>
      </c>
      <c r="L321" s="3">
        <f>Work[[#This Row],[Unit Price]]*Work[[#This Row],[Quantity]]</f>
        <v>1150</v>
      </c>
      <c r="M321" s="3">
        <f>Work[[#This Row],[Revenue]]*Work[[#This Row],[cost percentage]]</f>
        <v>690</v>
      </c>
      <c r="N321" s="3">
        <f>Work[[#This Row],[Revenue]]-Work[[#This Row],[Cost]]</f>
        <v>460</v>
      </c>
      <c r="O321">
        <v>5</v>
      </c>
      <c r="P321" s="6">
        <f>Work[[#This Row],[Delivered Date]]-Work[[#This Row],[Order Date]]</f>
        <v>3</v>
      </c>
      <c r="Q321" t="s">
        <v>14</v>
      </c>
      <c r="R321" t="s">
        <v>549</v>
      </c>
      <c r="S321" t="s">
        <v>19</v>
      </c>
    </row>
    <row r="322" spans="1:19" x14ac:dyDescent="0.35">
      <c r="A322">
        <v>152</v>
      </c>
      <c r="B322" t="s">
        <v>198</v>
      </c>
      <c r="C322" t="s">
        <v>17</v>
      </c>
      <c r="D322" t="s">
        <v>60</v>
      </c>
      <c r="E322" s="9">
        <v>45506</v>
      </c>
      <c r="F322" s="9">
        <v>45515</v>
      </c>
      <c r="G322" s="4" t="str">
        <f>TEXT(Work[[#This Row],[Delivered Date]],"mmm")</f>
        <v>Aug</v>
      </c>
      <c r="H322" s="16">
        <f>MONTH(Work[[#This Row],[Delivered Date]])</f>
        <v>8</v>
      </c>
      <c r="I322" s="1" t="str">
        <f>TEXT(Work[[#This Row],[Delivered Date]],"ddd")</f>
        <v>Sun</v>
      </c>
      <c r="J322" s="4">
        <f>_xlfn.XLOOKUP(Work[[#This Row],[Product Name]],Cost[Product Name],Cost[Cost Percentage],"NA")</f>
        <v>0.65</v>
      </c>
      <c r="K322" s="3">
        <v>846</v>
      </c>
      <c r="L322" s="3">
        <f>Work[[#This Row],[Unit Price]]*Work[[#This Row],[Quantity]]</f>
        <v>2538</v>
      </c>
      <c r="M322" s="3">
        <f>Work[[#This Row],[Revenue]]*Work[[#This Row],[cost percentage]]</f>
        <v>1649.7</v>
      </c>
      <c r="N322" s="3">
        <f>Work[[#This Row],[Revenue]]-Work[[#This Row],[Cost]]</f>
        <v>888.3</v>
      </c>
      <c r="O322">
        <v>3</v>
      </c>
      <c r="P322" s="6">
        <f>Work[[#This Row],[Delivered Date]]-Work[[#This Row],[Order Date]]</f>
        <v>9</v>
      </c>
      <c r="Q322" t="s">
        <v>14</v>
      </c>
      <c r="R322" t="s">
        <v>551</v>
      </c>
      <c r="S322" t="s">
        <v>46</v>
      </c>
    </row>
    <row r="323" spans="1:19" x14ac:dyDescent="0.35">
      <c r="A323">
        <v>172</v>
      </c>
      <c r="B323" t="s">
        <v>218</v>
      </c>
      <c r="C323" t="s">
        <v>24</v>
      </c>
      <c r="D323" t="s">
        <v>70</v>
      </c>
      <c r="E323" s="9">
        <v>45502</v>
      </c>
      <c r="F323" s="9">
        <v>45512</v>
      </c>
      <c r="G323" s="4" t="str">
        <f>TEXT(Work[[#This Row],[Delivered Date]],"mmm")</f>
        <v>Aug</v>
      </c>
      <c r="H323" s="16">
        <f>MONTH(Work[[#This Row],[Delivered Date]])</f>
        <v>8</v>
      </c>
      <c r="I323" s="1" t="str">
        <f>TEXT(Work[[#This Row],[Delivered Date]],"ddd")</f>
        <v>Thu</v>
      </c>
      <c r="J323" s="4">
        <f>_xlfn.XLOOKUP(Work[[#This Row],[Product Name]],Cost[Product Name],Cost[Cost Percentage],"NA")</f>
        <v>0.55000000000000004</v>
      </c>
      <c r="K323" s="3">
        <v>853</v>
      </c>
      <c r="L323" s="3">
        <f>Work[[#This Row],[Unit Price]]*Work[[#This Row],[Quantity]]</f>
        <v>5971</v>
      </c>
      <c r="M323" s="3">
        <f>Work[[#This Row],[Revenue]]*Work[[#This Row],[cost percentage]]</f>
        <v>3284.05</v>
      </c>
      <c r="N323" s="3">
        <f>Work[[#This Row],[Revenue]]-Work[[#This Row],[Cost]]</f>
        <v>2686.95</v>
      </c>
      <c r="O323">
        <v>7</v>
      </c>
      <c r="P323" s="6">
        <f>Work[[#This Row],[Delivered Date]]-Work[[#This Row],[Order Date]]</f>
        <v>10</v>
      </c>
      <c r="Q323" t="s">
        <v>14</v>
      </c>
      <c r="R323" t="s">
        <v>33</v>
      </c>
      <c r="S323" t="s">
        <v>15</v>
      </c>
    </row>
    <row r="324" spans="1:19" x14ac:dyDescent="0.35">
      <c r="A324">
        <v>173</v>
      </c>
      <c r="B324" t="s">
        <v>219</v>
      </c>
      <c r="C324" t="s">
        <v>31</v>
      </c>
      <c r="D324" t="s">
        <v>76</v>
      </c>
      <c r="E324" s="9">
        <v>45522</v>
      </c>
      <c r="F324" s="9">
        <v>45529</v>
      </c>
      <c r="G324" s="4" t="str">
        <f>TEXT(Work[[#This Row],[Delivered Date]],"mmm")</f>
        <v>Aug</v>
      </c>
      <c r="H324" s="16">
        <f>MONTH(Work[[#This Row],[Delivered Date]])</f>
        <v>8</v>
      </c>
      <c r="I324" s="1" t="str">
        <f>TEXT(Work[[#This Row],[Delivered Date]],"ddd")</f>
        <v>Sun</v>
      </c>
      <c r="J324" s="4">
        <f>_xlfn.XLOOKUP(Work[[#This Row],[Product Name]],Cost[Product Name],Cost[Cost Percentage],"NA")</f>
        <v>0.75</v>
      </c>
      <c r="K324" s="3">
        <v>706</v>
      </c>
      <c r="L324" s="3">
        <f>Work[[#This Row],[Unit Price]]*Work[[#This Row],[Quantity]]</f>
        <v>5648</v>
      </c>
      <c r="M324" s="3">
        <f>Work[[#This Row],[Revenue]]*Work[[#This Row],[cost percentage]]</f>
        <v>4236</v>
      </c>
      <c r="N324" s="3">
        <f>Work[[#This Row],[Revenue]]-Work[[#This Row],[Cost]]</f>
        <v>1412</v>
      </c>
      <c r="O324">
        <v>8</v>
      </c>
      <c r="P324" s="6">
        <f>Work[[#This Row],[Delivered Date]]-Work[[#This Row],[Order Date]]</f>
        <v>7</v>
      </c>
      <c r="Q324" t="s">
        <v>14</v>
      </c>
      <c r="R324" t="s">
        <v>33</v>
      </c>
      <c r="S324" t="s">
        <v>15</v>
      </c>
    </row>
    <row r="325" spans="1:19" x14ac:dyDescent="0.35">
      <c r="A325">
        <v>177</v>
      </c>
      <c r="B325" t="s">
        <v>223</v>
      </c>
      <c r="C325" t="s">
        <v>21</v>
      </c>
      <c r="D325" t="s">
        <v>52</v>
      </c>
      <c r="E325" s="9">
        <v>45505</v>
      </c>
      <c r="F325" s="9">
        <v>45515</v>
      </c>
      <c r="G325" s="4" t="str">
        <f>TEXT(Work[[#This Row],[Delivered Date]],"mmm")</f>
        <v>Aug</v>
      </c>
      <c r="H325" s="16">
        <f>MONTH(Work[[#This Row],[Delivered Date]])</f>
        <v>8</v>
      </c>
      <c r="I325" s="1" t="str">
        <f>TEXT(Work[[#This Row],[Delivered Date]],"ddd")</f>
        <v>Sun</v>
      </c>
      <c r="J325" s="4">
        <f>_xlfn.XLOOKUP(Work[[#This Row],[Product Name]],Cost[Product Name],Cost[Cost Percentage],"NA")</f>
        <v>0.7</v>
      </c>
      <c r="K325" s="3">
        <v>664</v>
      </c>
      <c r="L325" s="3">
        <f>Work[[#This Row],[Unit Price]]*Work[[#This Row],[Quantity]]</f>
        <v>6640</v>
      </c>
      <c r="M325" s="3">
        <f>Work[[#This Row],[Revenue]]*Work[[#This Row],[cost percentage]]</f>
        <v>4648</v>
      </c>
      <c r="N325" s="3">
        <f>Work[[#This Row],[Revenue]]-Work[[#This Row],[Cost]]</f>
        <v>1992</v>
      </c>
      <c r="O325">
        <v>10</v>
      </c>
      <c r="P325" s="6">
        <f>Work[[#This Row],[Delivered Date]]-Work[[#This Row],[Order Date]]</f>
        <v>10</v>
      </c>
      <c r="Q325" t="s">
        <v>28</v>
      </c>
      <c r="R325" t="s">
        <v>551</v>
      </c>
      <c r="S325" t="s">
        <v>46</v>
      </c>
    </row>
    <row r="326" spans="1:19" x14ac:dyDescent="0.35">
      <c r="A326">
        <v>201</v>
      </c>
      <c r="B326" t="s">
        <v>247</v>
      </c>
      <c r="C326" t="s">
        <v>17</v>
      </c>
      <c r="D326" t="s">
        <v>44</v>
      </c>
      <c r="E326" s="9">
        <v>45510</v>
      </c>
      <c r="F326" s="9">
        <v>45522</v>
      </c>
      <c r="G326" s="4" t="str">
        <f>TEXT(Work[[#This Row],[Delivered Date]],"mmm")</f>
        <v>Aug</v>
      </c>
      <c r="H326" s="16">
        <f>MONTH(Work[[#This Row],[Delivered Date]])</f>
        <v>8</v>
      </c>
      <c r="I326" s="1" t="str">
        <f>TEXT(Work[[#This Row],[Delivered Date]],"ddd")</f>
        <v>Sun</v>
      </c>
      <c r="J326" s="4">
        <f>_xlfn.XLOOKUP(Work[[#This Row],[Product Name]],Cost[Product Name],Cost[Cost Percentage],"NA")</f>
        <v>0.6</v>
      </c>
      <c r="K326" s="3">
        <v>345</v>
      </c>
      <c r="L326" s="3">
        <f>Work[[#This Row],[Unit Price]]*Work[[#This Row],[Quantity]]</f>
        <v>3105</v>
      </c>
      <c r="M326" s="3">
        <f>Work[[#This Row],[Revenue]]*Work[[#This Row],[cost percentage]]</f>
        <v>1863</v>
      </c>
      <c r="N326" s="3">
        <f>Work[[#This Row],[Revenue]]-Work[[#This Row],[Cost]]</f>
        <v>1242</v>
      </c>
      <c r="O326">
        <v>9</v>
      </c>
      <c r="P326" s="6">
        <f>Work[[#This Row],[Delivered Date]]-Work[[#This Row],[Order Date]]</f>
        <v>12</v>
      </c>
      <c r="Q326" t="s">
        <v>28</v>
      </c>
      <c r="R326" t="s">
        <v>551</v>
      </c>
      <c r="S326" t="s">
        <v>46</v>
      </c>
    </row>
    <row r="327" spans="1:19" x14ac:dyDescent="0.35">
      <c r="A327">
        <v>202</v>
      </c>
      <c r="B327" t="s">
        <v>248</v>
      </c>
      <c r="C327" t="s">
        <v>24</v>
      </c>
      <c r="D327" t="s">
        <v>100</v>
      </c>
      <c r="E327" s="9">
        <v>45520</v>
      </c>
      <c r="F327" s="9">
        <v>45533</v>
      </c>
      <c r="G327" s="4" t="str">
        <f>TEXT(Work[[#This Row],[Delivered Date]],"mmm")</f>
        <v>Aug</v>
      </c>
      <c r="H327" s="16">
        <f>MONTH(Work[[#This Row],[Delivered Date]])</f>
        <v>8</v>
      </c>
      <c r="I327" s="1" t="str">
        <f>TEXT(Work[[#This Row],[Delivered Date]],"ddd")</f>
        <v>Thu</v>
      </c>
      <c r="J327" s="4">
        <f>_xlfn.XLOOKUP(Work[[#This Row],[Product Name]],Cost[Product Name],Cost[Cost Percentage],"NA")</f>
        <v>0.6</v>
      </c>
      <c r="K327" s="3">
        <v>986</v>
      </c>
      <c r="L327" s="3">
        <f>Work[[#This Row],[Unit Price]]*Work[[#This Row],[Quantity]]</f>
        <v>4930</v>
      </c>
      <c r="M327" s="3">
        <f>Work[[#This Row],[Revenue]]*Work[[#This Row],[cost percentage]]</f>
        <v>2958</v>
      </c>
      <c r="N327" s="3">
        <f>Work[[#This Row],[Revenue]]-Work[[#This Row],[Cost]]</f>
        <v>1972</v>
      </c>
      <c r="O327">
        <v>5</v>
      </c>
      <c r="P327" s="6">
        <f>Work[[#This Row],[Delivered Date]]-Work[[#This Row],[Order Date]]</f>
        <v>13</v>
      </c>
      <c r="Q327" t="s">
        <v>28</v>
      </c>
      <c r="R327" t="s">
        <v>547</v>
      </c>
      <c r="S327" t="s">
        <v>15</v>
      </c>
    </row>
    <row r="328" spans="1:19" x14ac:dyDescent="0.35">
      <c r="A328">
        <v>217</v>
      </c>
      <c r="B328" t="s">
        <v>263</v>
      </c>
      <c r="C328" t="s">
        <v>17</v>
      </c>
      <c r="D328" t="s">
        <v>64</v>
      </c>
      <c r="E328" s="9">
        <v>45503</v>
      </c>
      <c r="F328" s="9">
        <v>45510</v>
      </c>
      <c r="G328" s="4" t="str">
        <f>TEXT(Work[[#This Row],[Delivered Date]],"mmm")</f>
        <v>Aug</v>
      </c>
      <c r="H328" s="16">
        <f>MONTH(Work[[#This Row],[Delivered Date]])</f>
        <v>8</v>
      </c>
      <c r="I328" s="1" t="str">
        <f>TEXT(Work[[#This Row],[Delivered Date]],"ddd")</f>
        <v>Tue</v>
      </c>
      <c r="J328" s="4">
        <f>_xlfn.XLOOKUP(Work[[#This Row],[Product Name]],Cost[Product Name],Cost[Cost Percentage],"NA")</f>
        <v>0.5</v>
      </c>
      <c r="K328" s="3">
        <v>291</v>
      </c>
      <c r="L328" s="3">
        <f>Work[[#This Row],[Unit Price]]*Work[[#This Row],[Quantity]]</f>
        <v>1455</v>
      </c>
      <c r="M328" s="3">
        <f>Work[[#This Row],[Revenue]]*Work[[#This Row],[cost percentage]]</f>
        <v>727.5</v>
      </c>
      <c r="N328" s="3">
        <f>Work[[#This Row],[Revenue]]-Work[[#This Row],[Cost]]</f>
        <v>727.5</v>
      </c>
      <c r="O328">
        <v>5</v>
      </c>
      <c r="P328" s="6">
        <f>Work[[#This Row],[Delivered Date]]-Work[[#This Row],[Order Date]]</f>
        <v>7</v>
      </c>
      <c r="Q328" t="s">
        <v>28</v>
      </c>
      <c r="R328" t="s">
        <v>551</v>
      </c>
      <c r="S328" t="s">
        <v>29</v>
      </c>
    </row>
    <row r="329" spans="1:19" x14ac:dyDescent="0.35">
      <c r="A329">
        <v>219</v>
      </c>
      <c r="B329" t="s">
        <v>265</v>
      </c>
      <c r="C329" t="s">
        <v>31</v>
      </c>
      <c r="D329" t="s">
        <v>50</v>
      </c>
      <c r="E329" s="9">
        <v>45501</v>
      </c>
      <c r="F329" s="9">
        <v>45513</v>
      </c>
      <c r="G329" s="4" t="str">
        <f>TEXT(Work[[#This Row],[Delivered Date]],"mmm")</f>
        <v>Aug</v>
      </c>
      <c r="H329" s="16">
        <f>MONTH(Work[[#This Row],[Delivered Date]])</f>
        <v>8</v>
      </c>
      <c r="I329" s="1" t="str">
        <f>TEXT(Work[[#This Row],[Delivered Date]],"ddd")</f>
        <v>Fri</v>
      </c>
      <c r="J329" s="4">
        <f>_xlfn.XLOOKUP(Work[[#This Row],[Product Name]],Cost[Product Name],Cost[Cost Percentage],"NA")</f>
        <v>0.7</v>
      </c>
      <c r="K329" s="3">
        <v>317</v>
      </c>
      <c r="L329" s="3">
        <f>Work[[#This Row],[Unit Price]]*Work[[#This Row],[Quantity]]</f>
        <v>951</v>
      </c>
      <c r="M329" s="3">
        <f>Work[[#This Row],[Revenue]]*Work[[#This Row],[cost percentage]]</f>
        <v>665.69999999999993</v>
      </c>
      <c r="N329" s="3">
        <f>Work[[#This Row],[Revenue]]-Work[[#This Row],[Cost]]</f>
        <v>285.30000000000007</v>
      </c>
      <c r="O329">
        <v>3</v>
      </c>
      <c r="P329" s="6">
        <f>Work[[#This Row],[Delivered Date]]-Work[[#This Row],[Order Date]]</f>
        <v>12</v>
      </c>
      <c r="Q329" t="s">
        <v>28</v>
      </c>
      <c r="R329" t="s">
        <v>550</v>
      </c>
      <c r="S329" t="s">
        <v>29</v>
      </c>
    </row>
    <row r="330" spans="1:19" x14ac:dyDescent="0.35">
      <c r="A330">
        <v>229</v>
      </c>
      <c r="B330" t="s">
        <v>275</v>
      </c>
      <c r="C330" t="s">
        <v>12</v>
      </c>
      <c r="D330" t="s">
        <v>13</v>
      </c>
      <c r="E330" s="9">
        <v>45503</v>
      </c>
      <c r="F330" s="9">
        <v>45514</v>
      </c>
      <c r="G330" s="4" t="str">
        <f>TEXT(Work[[#This Row],[Delivered Date]],"mmm")</f>
        <v>Aug</v>
      </c>
      <c r="H330" s="16">
        <f>MONTH(Work[[#This Row],[Delivered Date]])</f>
        <v>8</v>
      </c>
      <c r="I330" s="1" t="str">
        <f>TEXT(Work[[#This Row],[Delivered Date]],"ddd")</f>
        <v>Sat</v>
      </c>
      <c r="J330" s="4">
        <f>_xlfn.XLOOKUP(Work[[#This Row],[Product Name]],Cost[Product Name],Cost[Cost Percentage],"NA")</f>
        <v>0.75</v>
      </c>
      <c r="K330" s="3">
        <v>872</v>
      </c>
      <c r="L330" s="3">
        <f>Work[[#This Row],[Unit Price]]*Work[[#This Row],[Quantity]]</f>
        <v>2616</v>
      </c>
      <c r="M330" s="3">
        <f>Work[[#This Row],[Revenue]]*Work[[#This Row],[cost percentage]]</f>
        <v>1962</v>
      </c>
      <c r="N330" s="3">
        <f>Work[[#This Row],[Revenue]]-Work[[#This Row],[Cost]]</f>
        <v>654</v>
      </c>
      <c r="O330">
        <v>3</v>
      </c>
      <c r="P330" s="6">
        <f>Work[[#This Row],[Delivered Date]]-Work[[#This Row],[Order Date]]</f>
        <v>11</v>
      </c>
      <c r="Q330" t="s">
        <v>14</v>
      </c>
      <c r="R330" t="s">
        <v>33</v>
      </c>
      <c r="S330" t="s">
        <v>29</v>
      </c>
    </row>
    <row r="331" spans="1:19" x14ac:dyDescent="0.35">
      <c r="A331">
        <v>268</v>
      </c>
      <c r="B331" t="s">
        <v>314</v>
      </c>
      <c r="C331" t="s">
        <v>12</v>
      </c>
      <c r="D331" t="s">
        <v>58</v>
      </c>
      <c r="E331" s="9">
        <v>45502</v>
      </c>
      <c r="F331" s="9">
        <v>45508</v>
      </c>
      <c r="G331" s="4" t="str">
        <f>TEXT(Work[[#This Row],[Delivered Date]],"mmm")</f>
        <v>Aug</v>
      </c>
      <c r="H331" s="16">
        <f>MONTH(Work[[#This Row],[Delivered Date]])</f>
        <v>8</v>
      </c>
      <c r="I331" s="1" t="str">
        <f>TEXT(Work[[#This Row],[Delivered Date]],"ddd")</f>
        <v>Sun</v>
      </c>
      <c r="J331" s="4">
        <f>_xlfn.XLOOKUP(Work[[#This Row],[Product Name]],Cost[Product Name],Cost[Cost Percentage],"NA")</f>
        <v>0.85</v>
      </c>
      <c r="K331" s="3">
        <v>293</v>
      </c>
      <c r="L331" s="3">
        <f>Work[[#This Row],[Unit Price]]*Work[[#This Row],[Quantity]]</f>
        <v>293</v>
      </c>
      <c r="M331" s="3">
        <f>Work[[#This Row],[Revenue]]*Work[[#This Row],[cost percentage]]</f>
        <v>249.04999999999998</v>
      </c>
      <c r="N331" s="3">
        <f>Work[[#This Row],[Revenue]]-Work[[#This Row],[Cost]]</f>
        <v>43.950000000000017</v>
      </c>
      <c r="O331">
        <v>1</v>
      </c>
      <c r="P331" s="6">
        <f>Work[[#This Row],[Delivered Date]]-Work[[#This Row],[Order Date]]</f>
        <v>6</v>
      </c>
      <c r="Q331" t="s">
        <v>28</v>
      </c>
      <c r="R331" t="s">
        <v>549</v>
      </c>
      <c r="S331" t="s">
        <v>19</v>
      </c>
    </row>
    <row r="332" spans="1:19" x14ac:dyDescent="0.35">
      <c r="A332">
        <v>273</v>
      </c>
      <c r="B332" t="s">
        <v>319</v>
      </c>
      <c r="C332" t="s">
        <v>12</v>
      </c>
      <c r="D332" t="s">
        <v>58</v>
      </c>
      <c r="E332" s="9">
        <v>45517</v>
      </c>
      <c r="F332" s="9">
        <v>45529</v>
      </c>
      <c r="G332" s="4" t="str">
        <f>TEXT(Work[[#This Row],[Delivered Date]],"mmm")</f>
        <v>Aug</v>
      </c>
      <c r="H332" s="16">
        <f>MONTH(Work[[#This Row],[Delivered Date]])</f>
        <v>8</v>
      </c>
      <c r="I332" s="1" t="str">
        <f>TEXT(Work[[#This Row],[Delivered Date]],"ddd")</f>
        <v>Sun</v>
      </c>
      <c r="J332" s="4">
        <f>_xlfn.XLOOKUP(Work[[#This Row],[Product Name]],Cost[Product Name],Cost[Cost Percentage],"NA")</f>
        <v>0.85</v>
      </c>
      <c r="K332" s="3">
        <v>10</v>
      </c>
      <c r="L332" s="3">
        <f>Work[[#This Row],[Unit Price]]*Work[[#This Row],[Quantity]]</f>
        <v>80</v>
      </c>
      <c r="M332" s="3">
        <f>Work[[#This Row],[Revenue]]*Work[[#This Row],[cost percentage]]</f>
        <v>68</v>
      </c>
      <c r="N332" s="3">
        <f>Work[[#This Row],[Revenue]]-Work[[#This Row],[Cost]]</f>
        <v>12</v>
      </c>
      <c r="O332">
        <v>8</v>
      </c>
      <c r="P332" s="6">
        <f>Work[[#This Row],[Delivered Date]]-Work[[#This Row],[Order Date]]</f>
        <v>12</v>
      </c>
      <c r="Q332" t="s">
        <v>28</v>
      </c>
      <c r="R332" t="s">
        <v>550</v>
      </c>
      <c r="S332" t="s">
        <v>19</v>
      </c>
    </row>
    <row r="333" spans="1:19" x14ac:dyDescent="0.35">
      <c r="A333">
        <v>305</v>
      </c>
      <c r="B333" t="s">
        <v>351</v>
      </c>
      <c r="C333" t="s">
        <v>12</v>
      </c>
      <c r="D333" t="s">
        <v>13</v>
      </c>
      <c r="E333" s="9">
        <v>45528</v>
      </c>
      <c r="F333" s="9">
        <v>45534</v>
      </c>
      <c r="G333" s="4" t="str">
        <f>TEXT(Work[[#This Row],[Delivered Date]],"mmm")</f>
        <v>Aug</v>
      </c>
      <c r="H333" s="16">
        <f>MONTH(Work[[#This Row],[Delivered Date]])</f>
        <v>8</v>
      </c>
      <c r="I333" s="1" t="str">
        <f>TEXT(Work[[#This Row],[Delivered Date]],"ddd")</f>
        <v>Fri</v>
      </c>
      <c r="J333" s="4">
        <f>_xlfn.XLOOKUP(Work[[#This Row],[Product Name]],Cost[Product Name],Cost[Cost Percentage],"NA")</f>
        <v>0.75</v>
      </c>
      <c r="K333" s="3">
        <v>182</v>
      </c>
      <c r="L333" s="3">
        <f>Work[[#This Row],[Unit Price]]*Work[[#This Row],[Quantity]]</f>
        <v>182</v>
      </c>
      <c r="M333" s="3">
        <f>Work[[#This Row],[Revenue]]*Work[[#This Row],[cost percentage]]</f>
        <v>136.5</v>
      </c>
      <c r="N333" s="3">
        <f>Work[[#This Row],[Revenue]]-Work[[#This Row],[Cost]]</f>
        <v>45.5</v>
      </c>
      <c r="O333">
        <v>1</v>
      </c>
      <c r="P333" s="6">
        <f>Work[[#This Row],[Delivered Date]]-Work[[#This Row],[Order Date]]</f>
        <v>6</v>
      </c>
      <c r="Q333" t="s">
        <v>28</v>
      </c>
      <c r="R333" t="s">
        <v>552</v>
      </c>
      <c r="S333" t="s">
        <v>19</v>
      </c>
    </row>
    <row r="334" spans="1:19" x14ac:dyDescent="0.35">
      <c r="A334">
        <v>311</v>
      </c>
      <c r="B334" t="s">
        <v>357</v>
      </c>
      <c r="C334" t="s">
        <v>12</v>
      </c>
      <c r="D334" t="s">
        <v>13</v>
      </c>
      <c r="E334" s="9">
        <v>45882</v>
      </c>
      <c r="F334" s="9">
        <v>45887</v>
      </c>
      <c r="G334" s="4" t="str">
        <f>TEXT(Work[[#This Row],[Delivered Date]],"mmm")</f>
        <v>Aug</v>
      </c>
      <c r="H334" s="16">
        <f>MONTH(Work[[#This Row],[Delivered Date]])</f>
        <v>8</v>
      </c>
      <c r="I334" s="1" t="str">
        <f>TEXT(Work[[#This Row],[Delivered Date]],"ddd")</f>
        <v>Mon</v>
      </c>
      <c r="J334" s="4">
        <f>_xlfn.XLOOKUP(Work[[#This Row],[Product Name]],Cost[Product Name],Cost[Cost Percentage],"NA")</f>
        <v>0.75</v>
      </c>
      <c r="K334" s="3">
        <v>501</v>
      </c>
      <c r="L334" s="3">
        <f>Work[[#This Row],[Unit Price]]*Work[[#This Row],[Quantity]]</f>
        <v>3507</v>
      </c>
      <c r="M334" s="3">
        <f>Work[[#This Row],[Revenue]]*Work[[#This Row],[cost percentage]]</f>
        <v>2630.25</v>
      </c>
      <c r="N334" s="3">
        <f>Work[[#This Row],[Revenue]]-Work[[#This Row],[Cost]]</f>
        <v>876.75</v>
      </c>
      <c r="O334">
        <v>7</v>
      </c>
      <c r="P334" s="6">
        <f>Work[[#This Row],[Delivered Date]]-Work[[#This Row],[Order Date]]</f>
        <v>5</v>
      </c>
      <c r="Q334" t="s">
        <v>28</v>
      </c>
      <c r="R334" t="s">
        <v>550</v>
      </c>
      <c r="S334" t="s">
        <v>46</v>
      </c>
    </row>
    <row r="335" spans="1:19" x14ac:dyDescent="0.35">
      <c r="A335">
        <v>321</v>
      </c>
      <c r="B335" t="s">
        <v>367</v>
      </c>
      <c r="C335" t="s">
        <v>21</v>
      </c>
      <c r="D335" t="s">
        <v>54</v>
      </c>
      <c r="E335" s="9">
        <v>45875</v>
      </c>
      <c r="F335" s="9">
        <v>45881</v>
      </c>
      <c r="G335" s="4" t="str">
        <f>TEXT(Work[[#This Row],[Delivered Date]],"mmm")</f>
        <v>Aug</v>
      </c>
      <c r="H335" s="16">
        <f>MONTH(Work[[#This Row],[Delivered Date]])</f>
        <v>8</v>
      </c>
      <c r="I335" s="1" t="str">
        <f>TEXT(Work[[#This Row],[Delivered Date]],"ddd")</f>
        <v>Tue</v>
      </c>
      <c r="J335" s="4">
        <f>_xlfn.XLOOKUP(Work[[#This Row],[Product Name]],Cost[Product Name],Cost[Cost Percentage],"NA")</f>
        <v>0.7</v>
      </c>
      <c r="K335" s="3">
        <v>285</v>
      </c>
      <c r="L335" s="3">
        <f>Work[[#This Row],[Unit Price]]*Work[[#This Row],[Quantity]]</f>
        <v>1425</v>
      </c>
      <c r="M335" s="3">
        <f>Work[[#This Row],[Revenue]]*Work[[#This Row],[cost percentage]]</f>
        <v>997.49999999999989</v>
      </c>
      <c r="N335" s="3">
        <f>Work[[#This Row],[Revenue]]-Work[[#This Row],[Cost]]</f>
        <v>427.50000000000011</v>
      </c>
      <c r="O335">
        <v>5</v>
      </c>
      <c r="P335" s="6">
        <f>Work[[#This Row],[Delivered Date]]-Work[[#This Row],[Order Date]]</f>
        <v>6</v>
      </c>
      <c r="Q335" t="s">
        <v>14</v>
      </c>
      <c r="R335" t="s">
        <v>551</v>
      </c>
      <c r="S335" t="s">
        <v>46</v>
      </c>
    </row>
    <row r="336" spans="1:19" x14ac:dyDescent="0.35">
      <c r="A336">
        <v>325</v>
      </c>
      <c r="B336" t="s">
        <v>371</v>
      </c>
      <c r="C336" t="s">
        <v>12</v>
      </c>
      <c r="D336" t="s">
        <v>13</v>
      </c>
      <c r="E336" s="9">
        <v>45865</v>
      </c>
      <c r="F336" s="9">
        <v>45871</v>
      </c>
      <c r="G336" s="4" t="str">
        <f>TEXT(Work[[#This Row],[Delivered Date]],"mmm")</f>
        <v>Aug</v>
      </c>
      <c r="H336" s="16">
        <f>MONTH(Work[[#This Row],[Delivered Date]])</f>
        <v>8</v>
      </c>
      <c r="I336" s="1" t="str">
        <f>TEXT(Work[[#This Row],[Delivered Date]],"ddd")</f>
        <v>Sat</v>
      </c>
      <c r="J336" s="4">
        <f>_xlfn.XLOOKUP(Work[[#This Row],[Product Name]],Cost[Product Name],Cost[Cost Percentage],"NA")</f>
        <v>0.75</v>
      </c>
      <c r="K336" s="3">
        <v>708</v>
      </c>
      <c r="L336" s="3">
        <f>Work[[#This Row],[Unit Price]]*Work[[#This Row],[Quantity]]</f>
        <v>1416</v>
      </c>
      <c r="M336" s="3">
        <f>Work[[#This Row],[Revenue]]*Work[[#This Row],[cost percentage]]</f>
        <v>1062</v>
      </c>
      <c r="N336" s="3">
        <f>Work[[#This Row],[Revenue]]-Work[[#This Row],[Cost]]</f>
        <v>354</v>
      </c>
      <c r="O336">
        <v>2</v>
      </c>
      <c r="P336" s="6">
        <f>Work[[#This Row],[Delivered Date]]-Work[[#This Row],[Order Date]]</f>
        <v>6</v>
      </c>
      <c r="Q336" t="s">
        <v>28</v>
      </c>
      <c r="R336" t="s">
        <v>33</v>
      </c>
      <c r="S336" t="s">
        <v>15</v>
      </c>
    </row>
    <row r="337" spans="1:19" x14ac:dyDescent="0.35">
      <c r="A337">
        <v>330</v>
      </c>
      <c r="B337" t="s">
        <v>376</v>
      </c>
      <c r="C337" t="s">
        <v>31</v>
      </c>
      <c r="D337" t="s">
        <v>42</v>
      </c>
      <c r="E337" s="9">
        <v>45887</v>
      </c>
      <c r="F337" s="9">
        <v>45896</v>
      </c>
      <c r="G337" s="4" t="str">
        <f>TEXT(Work[[#This Row],[Delivered Date]],"mmm")</f>
        <v>Aug</v>
      </c>
      <c r="H337" s="16">
        <f>MONTH(Work[[#This Row],[Delivered Date]])</f>
        <v>8</v>
      </c>
      <c r="I337" s="1" t="str">
        <f>TEXT(Work[[#This Row],[Delivered Date]],"ddd")</f>
        <v>Wed</v>
      </c>
      <c r="J337" s="4">
        <f>_xlfn.XLOOKUP(Work[[#This Row],[Product Name]],Cost[Product Name],Cost[Cost Percentage],"NA")</f>
        <v>0.65</v>
      </c>
      <c r="K337" s="3">
        <v>385</v>
      </c>
      <c r="L337" s="3">
        <f>Work[[#This Row],[Unit Price]]*Work[[#This Row],[Quantity]]</f>
        <v>3465</v>
      </c>
      <c r="M337" s="3">
        <f>Work[[#This Row],[Revenue]]*Work[[#This Row],[cost percentage]]</f>
        <v>2252.25</v>
      </c>
      <c r="N337" s="3">
        <f>Work[[#This Row],[Revenue]]-Work[[#This Row],[Cost]]</f>
        <v>1212.75</v>
      </c>
      <c r="O337">
        <v>9</v>
      </c>
      <c r="P337" s="6">
        <f>Work[[#This Row],[Delivered Date]]-Work[[#This Row],[Order Date]]</f>
        <v>9</v>
      </c>
      <c r="Q337" t="s">
        <v>28</v>
      </c>
      <c r="R337" t="s">
        <v>33</v>
      </c>
      <c r="S337" t="s">
        <v>29</v>
      </c>
    </row>
    <row r="338" spans="1:19" x14ac:dyDescent="0.35">
      <c r="A338">
        <v>335</v>
      </c>
      <c r="B338" t="s">
        <v>381</v>
      </c>
      <c r="C338" t="s">
        <v>24</v>
      </c>
      <c r="D338" t="s">
        <v>38</v>
      </c>
      <c r="E338" s="9">
        <v>45878</v>
      </c>
      <c r="F338" s="9">
        <v>45883</v>
      </c>
      <c r="G338" s="4" t="str">
        <f>TEXT(Work[[#This Row],[Delivered Date]],"mmm")</f>
        <v>Aug</v>
      </c>
      <c r="H338" s="16">
        <f>MONTH(Work[[#This Row],[Delivered Date]])</f>
        <v>8</v>
      </c>
      <c r="I338" s="1" t="str">
        <f>TEXT(Work[[#This Row],[Delivered Date]],"ddd")</f>
        <v>Thu</v>
      </c>
      <c r="J338" s="4">
        <f>_xlfn.XLOOKUP(Work[[#This Row],[Product Name]],Cost[Product Name],Cost[Cost Percentage],"NA")</f>
        <v>0.5</v>
      </c>
      <c r="K338" s="3">
        <v>292</v>
      </c>
      <c r="L338" s="3">
        <f>Work[[#This Row],[Unit Price]]*Work[[#This Row],[Quantity]]</f>
        <v>1460</v>
      </c>
      <c r="M338" s="3">
        <f>Work[[#This Row],[Revenue]]*Work[[#This Row],[cost percentage]]</f>
        <v>730</v>
      </c>
      <c r="N338" s="3">
        <f>Work[[#This Row],[Revenue]]-Work[[#This Row],[Cost]]</f>
        <v>730</v>
      </c>
      <c r="O338">
        <v>5</v>
      </c>
      <c r="P338" s="6">
        <f>Work[[#This Row],[Delivered Date]]-Work[[#This Row],[Order Date]]</f>
        <v>5</v>
      </c>
      <c r="Q338" t="s">
        <v>28</v>
      </c>
      <c r="R338" t="s">
        <v>33</v>
      </c>
      <c r="S338" t="s">
        <v>29</v>
      </c>
    </row>
    <row r="339" spans="1:19" x14ac:dyDescent="0.35">
      <c r="A339">
        <v>336</v>
      </c>
      <c r="B339" t="s">
        <v>382</v>
      </c>
      <c r="C339" t="s">
        <v>31</v>
      </c>
      <c r="D339" t="s">
        <v>76</v>
      </c>
      <c r="E339" s="9">
        <v>45881</v>
      </c>
      <c r="F339" s="9">
        <v>45890</v>
      </c>
      <c r="G339" s="4" t="str">
        <f>TEXT(Work[[#This Row],[Delivered Date]],"mmm")</f>
        <v>Aug</v>
      </c>
      <c r="H339" s="16">
        <f>MONTH(Work[[#This Row],[Delivered Date]])</f>
        <v>8</v>
      </c>
      <c r="I339" s="1" t="str">
        <f>TEXT(Work[[#This Row],[Delivered Date]],"ddd")</f>
        <v>Thu</v>
      </c>
      <c r="J339" s="4">
        <f>_xlfn.XLOOKUP(Work[[#This Row],[Product Name]],Cost[Product Name],Cost[Cost Percentage],"NA")</f>
        <v>0.75</v>
      </c>
      <c r="K339" s="3">
        <v>521</v>
      </c>
      <c r="L339" s="3">
        <f>Work[[#This Row],[Unit Price]]*Work[[#This Row],[Quantity]]</f>
        <v>521</v>
      </c>
      <c r="M339" s="3">
        <f>Work[[#This Row],[Revenue]]*Work[[#This Row],[cost percentage]]</f>
        <v>390.75</v>
      </c>
      <c r="N339" s="3">
        <f>Work[[#This Row],[Revenue]]-Work[[#This Row],[Cost]]</f>
        <v>130.25</v>
      </c>
      <c r="O339">
        <v>1</v>
      </c>
      <c r="P339" s="6">
        <f>Work[[#This Row],[Delivered Date]]-Work[[#This Row],[Order Date]]</f>
        <v>9</v>
      </c>
      <c r="Q339" t="s">
        <v>28</v>
      </c>
      <c r="R339" t="s">
        <v>547</v>
      </c>
      <c r="S339" t="s">
        <v>46</v>
      </c>
    </row>
    <row r="340" spans="1:19" x14ac:dyDescent="0.35">
      <c r="A340">
        <v>353</v>
      </c>
      <c r="B340" t="s">
        <v>399</v>
      </c>
      <c r="C340" t="s">
        <v>24</v>
      </c>
      <c r="D340" t="s">
        <v>25</v>
      </c>
      <c r="E340" s="9">
        <v>45863</v>
      </c>
      <c r="F340" s="9">
        <v>45870</v>
      </c>
      <c r="G340" s="4" t="str">
        <f>TEXT(Work[[#This Row],[Delivered Date]],"mmm")</f>
        <v>Aug</v>
      </c>
      <c r="H340" s="16">
        <f>MONTH(Work[[#This Row],[Delivered Date]])</f>
        <v>8</v>
      </c>
      <c r="I340" s="1" t="str">
        <f>TEXT(Work[[#This Row],[Delivered Date]],"ddd")</f>
        <v>Fri</v>
      </c>
      <c r="J340" s="4">
        <f>_xlfn.XLOOKUP(Work[[#This Row],[Product Name]],Cost[Product Name],Cost[Cost Percentage],"NA")</f>
        <v>0.55000000000000004</v>
      </c>
      <c r="K340" s="3">
        <v>486</v>
      </c>
      <c r="L340" s="3">
        <f>Work[[#This Row],[Unit Price]]*Work[[#This Row],[Quantity]]</f>
        <v>1458</v>
      </c>
      <c r="M340" s="3">
        <f>Work[[#This Row],[Revenue]]*Work[[#This Row],[cost percentage]]</f>
        <v>801.90000000000009</v>
      </c>
      <c r="N340" s="3">
        <f>Work[[#This Row],[Revenue]]-Work[[#This Row],[Cost]]</f>
        <v>656.09999999999991</v>
      </c>
      <c r="O340">
        <v>3</v>
      </c>
      <c r="P340" s="6">
        <f>Work[[#This Row],[Delivered Date]]-Work[[#This Row],[Order Date]]</f>
        <v>7</v>
      </c>
      <c r="Q340" t="s">
        <v>14</v>
      </c>
      <c r="R340" t="s">
        <v>549</v>
      </c>
      <c r="S340" t="s">
        <v>46</v>
      </c>
    </row>
    <row r="341" spans="1:19" x14ac:dyDescent="0.35">
      <c r="A341">
        <v>367</v>
      </c>
      <c r="B341" t="s">
        <v>413</v>
      </c>
      <c r="C341" t="s">
        <v>21</v>
      </c>
      <c r="D341" t="s">
        <v>40</v>
      </c>
      <c r="E341" s="9">
        <v>45883</v>
      </c>
      <c r="F341" s="9">
        <v>45885</v>
      </c>
      <c r="G341" s="4" t="str">
        <f>TEXT(Work[[#This Row],[Delivered Date]],"mmm")</f>
        <v>Aug</v>
      </c>
      <c r="H341" s="16">
        <f>MONTH(Work[[#This Row],[Delivered Date]])</f>
        <v>8</v>
      </c>
      <c r="I341" s="1" t="str">
        <f>TEXT(Work[[#This Row],[Delivered Date]],"ddd")</f>
        <v>Sat</v>
      </c>
      <c r="J341" s="4">
        <f>_xlfn.XLOOKUP(Work[[#This Row],[Product Name]],Cost[Product Name],Cost[Cost Percentage],"NA")</f>
        <v>0.65</v>
      </c>
      <c r="K341" s="3">
        <v>949</v>
      </c>
      <c r="L341" s="3">
        <f>Work[[#This Row],[Unit Price]]*Work[[#This Row],[Quantity]]</f>
        <v>2847</v>
      </c>
      <c r="M341" s="3">
        <f>Work[[#This Row],[Revenue]]*Work[[#This Row],[cost percentage]]</f>
        <v>1850.55</v>
      </c>
      <c r="N341" s="3">
        <f>Work[[#This Row],[Revenue]]-Work[[#This Row],[Cost]]</f>
        <v>996.45</v>
      </c>
      <c r="O341">
        <v>3</v>
      </c>
      <c r="P341" s="6">
        <f>Work[[#This Row],[Delivered Date]]-Work[[#This Row],[Order Date]]</f>
        <v>2</v>
      </c>
      <c r="Q341" t="s">
        <v>14</v>
      </c>
      <c r="R341" t="s">
        <v>33</v>
      </c>
      <c r="S341" t="s">
        <v>29</v>
      </c>
    </row>
    <row r="342" spans="1:19" x14ac:dyDescent="0.35">
      <c r="A342">
        <v>369</v>
      </c>
      <c r="B342" t="s">
        <v>415</v>
      </c>
      <c r="C342" t="s">
        <v>12</v>
      </c>
      <c r="D342" t="s">
        <v>27</v>
      </c>
      <c r="E342" s="9">
        <v>45895</v>
      </c>
      <c r="F342" s="9">
        <v>45898</v>
      </c>
      <c r="G342" s="4" t="str">
        <f>TEXT(Work[[#This Row],[Delivered Date]],"mmm")</f>
        <v>Aug</v>
      </c>
      <c r="H342" s="16">
        <f>MONTH(Work[[#This Row],[Delivered Date]])</f>
        <v>8</v>
      </c>
      <c r="I342" s="1" t="str">
        <f>TEXT(Work[[#This Row],[Delivered Date]],"ddd")</f>
        <v>Fri</v>
      </c>
      <c r="J342" s="4">
        <f>_xlfn.XLOOKUP(Work[[#This Row],[Product Name]],Cost[Product Name],Cost[Cost Percentage],"NA")</f>
        <v>0.65</v>
      </c>
      <c r="K342" s="3">
        <v>968</v>
      </c>
      <c r="L342" s="3">
        <f>Work[[#This Row],[Unit Price]]*Work[[#This Row],[Quantity]]</f>
        <v>1936</v>
      </c>
      <c r="M342" s="3">
        <f>Work[[#This Row],[Revenue]]*Work[[#This Row],[cost percentage]]</f>
        <v>1258.4000000000001</v>
      </c>
      <c r="N342" s="3">
        <f>Work[[#This Row],[Revenue]]-Work[[#This Row],[Cost]]</f>
        <v>677.59999999999991</v>
      </c>
      <c r="O342">
        <v>2</v>
      </c>
      <c r="P342" s="6">
        <f>Work[[#This Row],[Delivered Date]]-Work[[#This Row],[Order Date]]</f>
        <v>3</v>
      </c>
      <c r="Q342" t="s">
        <v>28</v>
      </c>
      <c r="R342" t="s">
        <v>551</v>
      </c>
      <c r="S342" t="s">
        <v>46</v>
      </c>
    </row>
    <row r="343" spans="1:19" x14ac:dyDescent="0.35">
      <c r="A343">
        <v>389</v>
      </c>
      <c r="B343" t="s">
        <v>435</v>
      </c>
      <c r="C343" t="s">
        <v>21</v>
      </c>
      <c r="D343" t="s">
        <v>54</v>
      </c>
      <c r="E343" s="9">
        <v>45881</v>
      </c>
      <c r="F343" s="9">
        <v>45891</v>
      </c>
      <c r="G343" s="4" t="str">
        <f>TEXT(Work[[#This Row],[Delivered Date]],"mmm")</f>
        <v>Aug</v>
      </c>
      <c r="H343" s="16">
        <f>MONTH(Work[[#This Row],[Delivered Date]])</f>
        <v>8</v>
      </c>
      <c r="I343" s="1" t="str">
        <f>TEXT(Work[[#This Row],[Delivered Date]],"ddd")</f>
        <v>Fri</v>
      </c>
      <c r="J343" s="4">
        <f>_xlfn.XLOOKUP(Work[[#This Row],[Product Name]],Cost[Product Name],Cost[Cost Percentage],"NA")</f>
        <v>0.7</v>
      </c>
      <c r="K343" s="3">
        <v>894</v>
      </c>
      <c r="L343" s="3">
        <f>Work[[#This Row],[Unit Price]]*Work[[#This Row],[Quantity]]</f>
        <v>6258</v>
      </c>
      <c r="M343" s="3">
        <f>Work[[#This Row],[Revenue]]*Work[[#This Row],[cost percentage]]</f>
        <v>4380.5999999999995</v>
      </c>
      <c r="N343" s="3">
        <f>Work[[#This Row],[Revenue]]-Work[[#This Row],[Cost]]</f>
        <v>1877.4000000000005</v>
      </c>
      <c r="O343">
        <v>7</v>
      </c>
      <c r="P343" s="6">
        <f>Work[[#This Row],[Delivered Date]]-Work[[#This Row],[Order Date]]</f>
        <v>10</v>
      </c>
      <c r="Q343" t="s">
        <v>14</v>
      </c>
      <c r="R343" t="s">
        <v>550</v>
      </c>
      <c r="S343" t="s">
        <v>15</v>
      </c>
    </row>
    <row r="344" spans="1:19" x14ac:dyDescent="0.35">
      <c r="A344">
        <v>390</v>
      </c>
      <c r="B344" t="s">
        <v>436</v>
      </c>
      <c r="C344" t="s">
        <v>31</v>
      </c>
      <c r="D344" t="s">
        <v>76</v>
      </c>
      <c r="E344" s="9">
        <v>45881</v>
      </c>
      <c r="F344" s="9">
        <v>45882</v>
      </c>
      <c r="G344" s="4" t="str">
        <f>TEXT(Work[[#This Row],[Delivered Date]],"mmm")</f>
        <v>Aug</v>
      </c>
      <c r="H344" s="16">
        <f>MONTH(Work[[#This Row],[Delivered Date]])</f>
        <v>8</v>
      </c>
      <c r="I344" s="1" t="str">
        <f>TEXT(Work[[#This Row],[Delivered Date]],"ddd")</f>
        <v>Wed</v>
      </c>
      <c r="J344" s="4">
        <f>_xlfn.XLOOKUP(Work[[#This Row],[Product Name]],Cost[Product Name],Cost[Cost Percentage],"NA")</f>
        <v>0.75</v>
      </c>
      <c r="K344" s="3">
        <v>177</v>
      </c>
      <c r="L344" s="3">
        <f>Work[[#This Row],[Unit Price]]*Work[[#This Row],[Quantity]]</f>
        <v>1416</v>
      </c>
      <c r="M344" s="3">
        <f>Work[[#This Row],[Revenue]]*Work[[#This Row],[cost percentage]]</f>
        <v>1062</v>
      </c>
      <c r="N344" s="3">
        <f>Work[[#This Row],[Revenue]]-Work[[#This Row],[Cost]]</f>
        <v>354</v>
      </c>
      <c r="O344">
        <v>8</v>
      </c>
      <c r="P344" s="6">
        <f>Work[[#This Row],[Delivered Date]]-Work[[#This Row],[Order Date]]</f>
        <v>1</v>
      </c>
      <c r="Q344" t="s">
        <v>14</v>
      </c>
      <c r="R344" t="s">
        <v>551</v>
      </c>
      <c r="S344" t="s">
        <v>15</v>
      </c>
    </row>
    <row r="345" spans="1:19" x14ac:dyDescent="0.35">
      <c r="A345">
        <v>394</v>
      </c>
      <c r="B345" t="s">
        <v>440</v>
      </c>
      <c r="C345" t="s">
        <v>21</v>
      </c>
      <c r="D345" t="s">
        <v>22</v>
      </c>
      <c r="E345" s="9">
        <v>45895</v>
      </c>
      <c r="F345" s="9">
        <v>45896</v>
      </c>
      <c r="G345" s="4" t="str">
        <f>TEXT(Work[[#This Row],[Delivered Date]],"mmm")</f>
        <v>Aug</v>
      </c>
      <c r="H345" s="16">
        <f>MONTH(Work[[#This Row],[Delivered Date]])</f>
        <v>8</v>
      </c>
      <c r="I345" s="1" t="str">
        <f>TEXT(Work[[#This Row],[Delivered Date]],"ddd")</f>
        <v>Wed</v>
      </c>
      <c r="J345" s="4">
        <f>_xlfn.XLOOKUP(Work[[#This Row],[Product Name]],Cost[Product Name],Cost[Cost Percentage],"NA")</f>
        <v>0.75</v>
      </c>
      <c r="K345" s="3">
        <v>572</v>
      </c>
      <c r="L345" s="3">
        <f>Work[[#This Row],[Unit Price]]*Work[[#This Row],[Quantity]]</f>
        <v>5720</v>
      </c>
      <c r="M345" s="3">
        <f>Work[[#This Row],[Revenue]]*Work[[#This Row],[cost percentage]]</f>
        <v>4290</v>
      </c>
      <c r="N345" s="3">
        <f>Work[[#This Row],[Revenue]]-Work[[#This Row],[Cost]]</f>
        <v>1430</v>
      </c>
      <c r="O345">
        <v>10</v>
      </c>
      <c r="P345" s="6">
        <f>Work[[#This Row],[Delivered Date]]-Work[[#This Row],[Order Date]]</f>
        <v>1</v>
      </c>
      <c r="Q345" t="s">
        <v>14</v>
      </c>
      <c r="R345" t="s">
        <v>33</v>
      </c>
      <c r="S345" t="s">
        <v>19</v>
      </c>
    </row>
    <row r="346" spans="1:19" x14ac:dyDescent="0.35">
      <c r="A346">
        <v>441</v>
      </c>
      <c r="B346" t="s">
        <v>487</v>
      </c>
      <c r="C346" t="s">
        <v>12</v>
      </c>
      <c r="D346" t="s">
        <v>13</v>
      </c>
      <c r="E346" s="9">
        <v>45886</v>
      </c>
      <c r="F346" s="9">
        <v>45887</v>
      </c>
      <c r="G346" s="4" t="str">
        <f>TEXT(Work[[#This Row],[Delivered Date]],"mmm")</f>
        <v>Aug</v>
      </c>
      <c r="H346" s="16">
        <f>MONTH(Work[[#This Row],[Delivered Date]])</f>
        <v>8</v>
      </c>
      <c r="I346" s="1" t="str">
        <f>TEXT(Work[[#This Row],[Delivered Date]],"ddd")</f>
        <v>Mon</v>
      </c>
      <c r="J346" s="4">
        <f>_xlfn.XLOOKUP(Work[[#This Row],[Product Name]],Cost[Product Name],Cost[Cost Percentage],"NA")</f>
        <v>0.75</v>
      </c>
      <c r="K346" s="3">
        <v>48</v>
      </c>
      <c r="L346" s="3">
        <f>Work[[#This Row],[Unit Price]]*Work[[#This Row],[Quantity]]</f>
        <v>384</v>
      </c>
      <c r="M346" s="3">
        <f>Work[[#This Row],[Revenue]]*Work[[#This Row],[cost percentage]]</f>
        <v>288</v>
      </c>
      <c r="N346" s="3">
        <f>Work[[#This Row],[Revenue]]-Work[[#This Row],[Cost]]</f>
        <v>96</v>
      </c>
      <c r="O346">
        <v>8</v>
      </c>
      <c r="P346" s="6">
        <f>Work[[#This Row],[Delivered Date]]-Work[[#This Row],[Order Date]]</f>
        <v>1</v>
      </c>
      <c r="Q346" t="s">
        <v>14</v>
      </c>
      <c r="R346" t="s">
        <v>33</v>
      </c>
      <c r="S346" t="s">
        <v>46</v>
      </c>
    </row>
    <row r="347" spans="1:19" x14ac:dyDescent="0.35">
      <c r="A347">
        <v>442</v>
      </c>
      <c r="B347" t="s">
        <v>488</v>
      </c>
      <c r="C347" t="s">
        <v>21</v>
      </c>
      <c r="D347" t="s">
        <v>22</v>
      </c>
      <c r="E347" s="9">
        <v>45874</v>
      </c>
      <c r="F347" s="9">
        <v>45880</v>
      </c>
      <c r="G347" s="4" t="str">
        <f>TEXT(Work[[#This Row],[Delivered Date]],"mmm")</f>
        <v>Aug</v>
      </c>
      <c r="H347" s="16">
        <f>MONTH(Work[[#This Row],[Delivered Date]])</f>
        <v>8</v>
      </c>
      <c r="I347" s="1" t="str">
        <f>TEXT(Work[[#This Row],[Delivered Date]],"ddd")</f>
        <v>Mon</v>
      </c>
      <c r="J347" s="4">
        <f>_xlfn.XLOOKUP(Work[[#This Row],[Product Name]],Cost[Product Name],Cost[Cost Percentage],"NA")</f>
        <v>0.75</v>
      </c>
      <c r="K347" s="3">
        <v>262</v>
      </c>
      <c r="L347" s="3">
        <f>Work[[#This Row],[Unit Price]]*Work[[#This Row],[Quantity]]</f>
        <v>786</v>
      </c>
      <c r="M347" s="3">
        <f>Work[[#This Row],[Revenue]]*Work[[#This Row],[cost percentage]]</f>
        <v>589.5</v>
      </c>
      <c r="N347" s="3">
        <f>Work[[#This Row],[Revenue]]-Work[[#This Row],[Cost]]</f>
        <v>196.5</v>
      </c>
      <c r="O347">
        <v>3</v>
      </c>
      <c r="P347" s="6">
        <f>Work[[#This Row],[Delivered Date]]-Work[[#This Row],[Order Date]]</f>
        <v>6</v>
      </c>
      <c r="Q347" t="s">
        <v>28</v>
      </c>
      <c r="R347" t="s">
        <v>33</v>
      </c>
      <c r="S347" t="s">
        <v>29</v>
      </c>
    </row>
    <row r="348" spans="1:19" x14ac:dyDescent="0.35">
      <c r="A348">
        <v>451</v>
      </c>
      <c r="B348" t="s">
        <v>497</v>
      </c>
      <c r="C348" t="s">
        <v>12</v>
      </c>
      <c r="D348" t="s">
        <v>58</v>
      </c>
      <c r="E348" s="9">
        <v>45871</v>
      </c>
      <c r="F348" s="9">
        <v>45877</v>
      </c>
      <c r="G348" s="4" t="str">
        <f>TEXT(Work[[#This Row],[Delivered Date]],"mmm")</f>
        <v>Aug</v>
      </c>
      <c r="H348" s="16">
        <f>MONTH(Work[[#This Row],[Delivered Date]])</f>
        <v>8</v>
      </c>
      <c r="I348" s="1" t="str">
        <f>TEXT(Work[[#This Row],[Delivered Date]],"ddd")</f>
        <v>Fri</v>
      </c>
      <c r="J348" s="4">
        <f>_xlfn.XLOOKUP(Work[[#This Row],[Product Name]],Cost[Product Name],Cost[Cost Percentage],"NA")</f>
        <v>0.85</v>
      </c>
      <c r="K348" s="3">
        <v>315</v>
      </c>
      <c r="L348" s="3">
        <f>Work[[#This Row],[Unit Price]]*Work[[#This Row],[Quantity]]</f>
        <v>630</v>
      </c>
      <c r="M348" s="3">
        <f>Work[[#This Row],[Revenue]]*Work[[#This Row],[cost percentage]]</f>
        <v>535.5</v>
      </c>
      <c r="N348" s="3">
        <f>Work[[#This Row],[Revenue]]-Work[[#This Row],[Cost]]</f>
        <v>94.5</v>
      </c>
      <c r="O348">
        <v>2</v>
      </c>
      <c r="P348" s="6">
        <f>Work[[#This Row],[Delivered Date]]-Work[[#This Row],[Order Date]]</f>
        <v>6</v>
      </c>
      <c r="Q348" t="s">
        <v>14</v>
      </c>
      <c r="R348" t="s">
        <v>33</v>
      </c>
      <c r="S348" t="s">
        <v>46</v>
      </c>
    </row>
    <row r="349" spans="1:19" x14ac:dyDescent="0.35">
      <c r="A349">
        <v>467</v>
      </c>
      <c r="B349" t="s">
        <v>513</v>
      </c>
      <c r="C349" t="s">
        <v>24</v>
      </c>
      <c r="D349" t="s">
        <v>70</v>
      </c>
      <c r="E349" s="9">
        <v>45878</v>
      </c>
      <c r="F349" s="9">
        <v>45882</v>
      </c>
      <c r="G349" s="4" t="str">
        <f>TEXT(Work[[#This Row],[Delivered Date]],"mmm")</f>
        <v>Aug</v>
      </c>
      <c r="H349" s="16">
        <f>MONTH(Work[[#This Row],[Delivered Date]])</f>
        <v>8</v>
      </c>
      <c r="I349" s="1" t="str">
        <f>TEXT(Work[[#This Row],[Delivered Date]],"ddd")</f>
        <v>Wed</v>
      </c>
      <c r="J349" s="4">
        <f>_xlfn.XLOOKUP(Work[[#This Row],[Product Name]],Cost[Product Name],Cost[Cost Percentage],"NA")</f>
        <v>0.55000000000000004</v>
      </c>
      <c r="K349" s="3">
        <v>269</v>
      </c>
      <c r="L349" s="3">
        <f>Work[[#This Row],[Unit Price]]*Work[[#This Row],[Quantity]]</f>
        <v>269</v>
      </c>
      <c r="M349" s="3">
        <f>Work[[#This Row],[Revenue]]*Work[[#This Row],[cost percentage]]</f>
        <v>147.95000000000002</v>
      </c>
      <c r="N349" s="3">
        <f>Work[[#This Row],[Revenue]]-Work[[#This Row],[Cost]]</f>
        <v>121.04999999999998</v>
      </c>
      <c r="O349">
        <v>1</v>
      </c>
      <c r="P349" s="6">
        <f>Work[[#This Row],[Delivered Date]]-Work[[#This Row],[Order Date]]</f>
        <v>4</v>
      </c>
      <c r="Q349" t="s">
        <v>14</v>
      </c>
      <c r="R349" t="s">
        <v>550</v>
      </c>
      <c r="S349" t="s">
        <v>15</v>
      </c>
    </row>
    <row r="350" spans="1:19" x14ac:dyDescent="0.35">
      <c r="A350">
        <v>490</v>
      </c>
      <c r="B350" t="s">
        <v>48</v>
      </c>
      <c r="C350" t="s">
        <v>21</v>
      </c>
      <c r="D350" t="s">
        <v>40</v>
      </c>
      <c r="E350" s="9">
        <v>45879</v>
      </c>
      <c r="F350" s="9">
        <v>45882</v>
      </c>
      <c r="G350" s="4" t="str">
        <f>TEXT(Work[[#This Row],[Delivered Date]],"mmm")</f>
        <v>Aug</v>
      </c>
      <c r="H350" s="16">
        <f>MONTH(Work[[#This Row],[Delivered Date]])</f>
        <v>8</v>
      </c>
      <c r="I350" s="1" t="str">
        <f>TEXT(Work[[#This Row],[Delivered Date]],"ddd")</f>
        <v>Wed</v>
      </c>
      <c r="J350" s="4">
        <f>_xlfn.XLOOKUP(Work[[#This Row],[Product Name]],Cost[Product Name],Cost[Cost Percentage],"NA")</f>
        <v>0.65</v>
      </c>
      <c r="K350" s="3">
        <v>967</v>
      </c>
      <c r="L350" s="3">
        <f>Work[[#This Row],[Unit Price]]*Work[[#This Row],[Quantity]]</f>
        <v>8703</v>
      </c>
      <c r="M350" s="3">
        <f>Work[[#This Row],[Revenue]]*Work[[#This Row],[cost percentage]]</f>
        <v>5656.95</v>
      </c>
      <c r="N350" s="3">
        <f>Work[[#This Row],[Revenue]]-Work[[#This Row],[Cost]]</f>
        <v>3046.05</v>
      </c>
      <c r="O350">
        <v>9</v>
      </c>
      <c r="P350" s="6">
        <f>Work[[#This Row],[Delivered Date]]-Work[[#This Row],[Order Date]]</f>
        <v>3</v>
      </c>
      <c r="Q350" t="s">
        <v>14</v>
      </c>
      <c r="R350" t="s">
        <v>33</v>
      </c>
      <c r="S350" t="s">
        <v>19</v>
      </c>
    </row>
    <row r="351" spans="1:19" x14ac:dyDescent="0.35">
      <c r="A351">
        <v>521</v>
      </c>
      <c r="B351" t="s">
        <v>89</v>
      </c>
      <c r="C351" t="s">
        <v>17</v>
      </c>
      <c r="D351" t="s">
        <v>18</v>
      </c>
      <c r="E351" s="9">
        <v>45871</v>
      </c>
      <c r="F351" s="9">
        <v>45875</v>
      </c>
      <c r="G351" s="4" t="str">
        <f>TEXT(Work[[#This Row],[Delivered Date]],"mmm")</f>
        <v>Aug</v>
      </c>
      <c r="H351" s="16">
        <f>MONTH(Work[[#This Row],[Delivered Date]])</f>
        <v>8</v>
      </c>
      <c r="I351" s="1" t="str">
        <f>TEXT(Work[[#This Row],[Delivered Date]],"ddd")</f>
        <v>Wed</v>
      </c>
      <c r="J351" s="4">
        <f>_xlfn.XLOOKUP(Work[[#This Row],[Product Name]],Cost[Product Name],Cost[Cost Percentage],"NA")</f>
        <v>0.5</v>
      </c>
      <c r="K351" s="3">
        <v>98</v>
      </c>
      <c r="L351" s="3">
        <f>Work[[#This Row],[Unit Price]]*Work[[#This Row],[Quantity]]</f>
        <v>98</v>
      </c>
      <c r="M351" s="3">
        <f>Work[[#This Row],[Revenue]]*Work[[#This Row],[cost percentage]]</f>
        <v>49</v>
      </c>
      <c r="N351" s="3">
        <f>Work[[#This Row],[Revenue]]-Work[[#This Row],[Cost]]</f>
        <v>49</v>
      </c>
      <c r="O351">
        <v>1</v>
      </c>
      <c r="P351" s="6">
        <f>Work[[#This Row],[Delivered Date]]-Work[[#This Row],[Order Date]]</f>
        <v>4</v>
      </c>
      <c r="Q351" t="s">
        <v>28</v>
      </c>
      <c r="R351" t="s">
        <v>550</v>
      </c>
      <c r="S351" t="s">
        <v>46</v>
      </c>
    </row>
    <row r="352" spans="1:19" x14ac:dyDescent="0.35">
      <c r="A352">
        <v>535</v>
      </c>
      <c r="B352" t="s">
        <v>105</v>
      </c>
      <c r="C352" t="s">
        <v>12</v>
      </c>
      <c r="D352" t="s">
        <v>13</v>
      </c>
      <c r="E352" s="9">
        <v>45896</v>
      </c>
      <c r="F352" s="9">
        <v>45897</v>
      </c>
      <c r="G352" s="4" t="str">
        <f>TEXT(Work[[#This Row],[Delivered Date]],"mmm")</f>
        <v>Aug</v>
      </c>
      <c r="H352" s="16">
        <f>MONTH(Work[[#This Row],[Delivered Date]])</f>
        <v>8</v>
      </c>
      <c r="I352" s="1" t="str">
        <f>TEXT(Work[[#This Row],[Delivered Date]],"ddd")</f>
        <v>Thu</v>
      </c>
      <c r="J352" s="4">
        <f>_xlfn.XLOOKUP(Work[[#This Row],[Product Name]],Cost[Product Name],Cost[Cost Percentage],"NA")</f>
        <v>0.75</v>
      </c>
      <c r="K352" s="3">
        <v>541</v>
      </c>
      <c r="L352" s="3">
        <f>Work[[#This Row],[Unit Price]]*Work[[#This Row],[Quantity]]</f>
        <v>5410</v>
      </c>
      <c r="M352" s="3">
        <f>Work[[#This Row],[Revenue]]*Work[[#This Row],[cost percentage]]</f>
        <v>4057.5</v>
      </c>
      <c r="N352" s="3">
        <f>Work[[#This Row],[Revenue]]-Work[[#This Row],[Cost]]</f>
        <v>1352.5</v>
      </c>
      <c r="O352">
        <v>10</v>
      </c>
      <c r="P352" s="6">
        <f>Work[[#This Row],[Delivered Date]]-Work[[#This Row],[Order Date]]</f>
        <v>1</v>
      </c>
      <c r="Q352" t="s">
        <v>14</v>
      </c>
      <c r="R352" t="s">
        <v>549</v>
      </c>
      <c r="S352" t="s">
        <v>15</v>
      </c>
    </row>
    <row r="353" spans="1:19" x14ac:dyDescent="0.35">
      <c r="A353">
        <v>536</v>
      </c>
      <c r="B353" t="s">
        <v>106</v>
      </c>
      <c r="C353" t="s">
        <v>31</v>
      </c>
      <c r="D353" t="s">
        <v>50</v>
      </c>
      <c r="E353" s="9">
        <v>45890</v>
      </c>
      <c r="F353" s="9">
        <v>45891</v>
      </c>
      <c r="G353" s="4" t="str">
        <f>TEXT(Work[[#This Row],[Delivered Date]],"mmm")</f>
        <v>Aug</v>
      </c>
      <c r="H353" s="16">
        <f>MONTH(Work[[#This Row],[Delivered Date]])</f>
        <v>8</v>
      </c>
      <c r="I353" s="1" t="str">
        <f>TEXT(Work[[#This Row],[Delivered Date]],"ddd")</f>
        <v>Fri</v>
      </c>
      <c r="J353" s="4">
        <f>_xlfn.XLOOKUP(Work[[#This Row],[Product Name]],Cost[Product Name],Cost[Cost Percentage],"NA")</f>
        <v>0.7</v>
      </c>
      <c r="K353" s="3">
        <v>46</v>
      </c>
      <c r="L353" s="3">
        <f>Work[[#This Row],[Unit Price]]*Work[[#This Row],[Quantity]]</f>
        <v>46</v>
      </c>
      <c r="M353" s="3">
        <f>Work[[#This Row],[Revenue]]*Work[[#This Row],[cost percentage]]</f>
        <v>32.199999999999996</v>
      </c>
      <c r="N353" s="3">
        <f>Work[[#This Row],[Revenue]]-Work[[#This Row],[Cost]]</f>
        <v>13.800000000000004</v>
      </c>
      <c r="O353">
        <v>1</v>
      </c>
      <c r="P353" s="6">
        <f>Work[[#This Row],[Delivered Date]]-Work[[#This Row],[Order Date]]</f>
        <v>1</v>
      </c>
      <c r="Q353" t="s">
        <v>14</v>
      </c>
      <c r="R353" t="s">
        <v>549</v>
      </c>
      <c r="S353" t="s">
        <v>29</v>
      </c>
    </row>
    <row r="354" spans="1:19" x14ac:dyDescent="0.35">
      <c r="A354">
        <v>546</v>
      </c>
      <c r="B354" t="s">
        <v>539</v>
      </c>
      <c r="C354" t="s">
        <v>21</v>
      </c>
      <c r="D354" t="s">
        <v>22</v>
      </c>
      <c r="E354" s="9">
        <v>45883</v>
      </c>
      <c r="F354" s="9">
        <v>45885</v>
      </c>
      <c r="G354" s="4" t="str">
        <f>TEXT(Work[[#This Row],[Delivered Date]],"mmm")</f>
        <v>Aug</v>
      </c>
      <c r="H354" s="16">
        <f>MONTH(Work[[#This Row],[Delivered Date]])</f>
        <v>8</v>
      </c>
      <c r="I354" s="1" t="str">
        <f>TEXT(Work[[#This Row],[Delivered Date]],"ddd")</f>
        <v>Sat</v>
      </c>
      <c r="J354" s="4">
        <f>_xlfn.XLOOKUP(Work[[#This Row],[Product Name]],Cost[Product Name],Cost[Cost Percentage],"NA")</f>
        <v>0.75</v>
      </c>
      <c r="K354" s="3">
        <v>70</v>
      </c>
      <c r="L354" s="3">
        <f>Work[[#This Row],[Unit Price]]*Work[[#This Row],[Quantity]]</f>
        <v>490</v>
      </c>
      <c r="M354" s="3">
        <f>Work[[#This Row],[Revenue]]*Work[[#This Row],[cost percentage]]</f>
        <v>367.5</v>
      </c>
      <c r="N354" s="3">
        <f>Work[[#This Row],[Revenue]]-Work[[#This Row],[Cost]]</f>
        <v>122.5</v>
      </c>
      <c r="O354">
        <v>7</v>
      </c>
      <c r="P354" s="6">
        <f>Work[[#This Row],[Delivered Date]]-Work[[#This Row],[Order Date]]</f>
        <v>2</v>
      </c>
      <c r="Q354" t="s">
        <v>14</v>
      </c>
      <c r="R354" t="s">
        <v>547</v>
      </c>
      <c r="S354" t="s">
        <v>46</v>
      </c>
    </row>
    <row r="355" spans="1:19" x14ac:dyDescent="0.35">
      <c r="A355">
        <v>19</v>
      </c>
      <c r="B355" t="s">
        <v>55</v>
      </c>
      <c r="C355" t="s">
        <v>17</v>
      </c>
      <c r="D355" t="s">
        <v>56</v>
      </c>
      <c r="E355" s="9">
        <v>45542</v>
      </c>
      <c r="F355" s="9">
        <v>45552</v>
      </c>
      <c r="G355" s="4" t="str">
        <f>TEXT(Work[[#This Row],[Delivered Date]],"mmm")</f>
        <v>Sept</v>
      </c>
      <c r="H355" s="16">
        <f>MONTH(Work[[#This Row],[Delivered Date]])</f>
        <v>9</v>
      </c>
      <c r="I355" s="1" t="str">
        <f>TEXT(Work[[#This Row],[Delivered Date]],"ddd")</f>
        <v>Tue</v>
      </c>
      <c r="J355" s="4">
        <f>_xlfn.XLOOKUP(Work[[#This Row],[Product Name]],Cost[Product Name],Cost[Cost Percentage],"NA")</f>
        <v>0.55000000000000004</v>
      </c>
      <c r="K355" s="3">
        <v>124</v>
      </c>
      <c r="L355" s="3">
        <f>Work[[#This Row],[Unit Price]]*Work[[#This Row],[Quantity]]</f>
        <v>124</v>
      </c>
      <c r="M355" s="3">
        <f>Work[[#This Row],[Revenue]]*Work[[#This Row],[cost percentage]]</f>
        <v>68.2</v>
      </c>
      <c r="N355" s="3">
        <f>Work[[#This Row],[Revenue]]-Work[[#This Row],[Cost]]</f>
        <v>55.8</v>
      </c>
      <c r="O355">
        <v>1</v>
      </c>
      <c r="P355" s="6">
        <f>Work[[#This Row],[Delivered Date]]-Work[[#This Row],[Order Date]]</f>
        <v>10</v>
      </c>
      <c r="Q355" t="s">
        <v>14</v>
      </c>
      <c r="R355" t="s">
        <v>547</v>
      </c>
      <c r="S355" t="s">
        <v>15</v>
      </c>
    </row>
    <row r="356" spans="1:19" x14ac:dyDescent="0.35">
      <c r="A356">
        <v>29</v>
      </c>
      <c r="B356" t="s">
        <v>68</v>
      </c>
      <c r="C356" t="s">
        <v>21</v>
      </c>
      <c r="D356" t="s">
        <v>22</v>
      </c>
      <c r="E356" s="9">
        <v>45540</v>
      </c>
      <c r="F356" s="9">
        <v>45554</v>
      </c>
      <c r="G356" s="4" t="str">
        <f>TEXT(Work[[#This Row],[Delivered Date]],"mmm")</f>
        <v>Sept</v>
      </c>
      <c r="H356" s="16">
        <f>MONTH(Work[[#This Row],[Delivered Date]])</f>
        <v>9</v>
      </c>
      <c r="I356" s="1" t="str">
        <f>TEXT(Work[[#This Row],[Delivered Date]],"ddd")</f>
        <v>Thu</v>
      </c>
      <c r="J356" s="4">
        <f>_xlfn.XLOOKUP(Work[[#This Row],[Product Name]],Cost[Product Name],Cost[Cost Percentage],"NA")</f>
        <v>0.75</v>
      </c>
      <c r="K356" s="3">
        <v>228</v>
      </c>
      <c r="L356" s="3">
        <f>Work[[#This Row],[Unit Price]]*Work[[#This Row],[Quantity]]</f>
        <v>1824</v>
      </c>
      <c r="M356" s="3">
        <f>Work[[#This Row],[Revenue]]*Work[[#This Row],[cost percentage]]</f>
        <v>1368</v>
      </c>
      <c r="N356" s="3">
        <f>Work[[#This Row],[Revenue]]-Work[[#This Row],[Cost]]</f>
        <v>456</v>
      </c>
      <c r="O356">
        <v>8</v>
      </c>
      <c r="P356" s="6">
        <f>Work[[#This Row],[Delivered Date]]-Work[[#This Row],[Order Date]]</f>
        <v>14</v>
      </c>
      <c r="Q356" t="s">
        <v>14</v>
      </c>
      <c r="R356" t="s">
        <v>549</v>
      </c>
      <c r="S356" t="s">
        <v>29</v>
      </c>
    </row>
    <row r="357" spans="1:19" x14ac:dyDescent="0.35">
      <c r="A357">
        <v>32</v>
      </c>
      <c r="B357" t="s">
        <v>72</v>
      </c>
      <c r="C357" t="s">
        <v>17</v>
      </c>
      <c r="D357" t="s">
        <v>44</v>
      </c>
      <c r="E357" s="9">
        <v>45549</v>
      </c>
      <c r="F357" s="9">
        <v>45554</v>
      </c>
      <c r="G357" s="4" t="str">
        <f>TEXT(Work[[#This Row],[Delivered Date]],"mmm")</f>
        <v>Sept</v>
      </c>
      <c r="H357" s="16">
        <f>MONTH(Work[[#This Row],[Delivered Date]])</f>
        <v>9</v>
      </c>
      <c r="I357" s="1" t="str">
        <f>TEXT(Work[[#This Row],[Delivered Date]],"ddd")</f>
        <v>Thu</v>
      </c>
      <c r="J357" s="4">
        <f>_xlfn.XLOOKUP(Work[[#This Row],[Product Name]],Cost[Product Name],Cost[Cost Percentage],"NA")</f>
        <v>0.6</v>
      </c>
      <c r="K357" s="3">
        <v>171</v>
      </c>
      <c r="L357" s="3">
        <f>Work[[#This Row],[Unit Price]]*Work[[#This Row],[Quantity]]</f>
        <v>1539</v>
      </c>
      <c r="M357" s="3">
        <f>Work[[#This Row],[Revenue]]*Work[[#This Row],[cost percentage]]</f>
        <v>923.4</v>
      </c>
      <c r="N357" s="3">
        <f>Work[[#This Row],[Revenue]]-Work[[#This Row],[Cost]]</f>
        <v>615.6</v>
      </c>
      <c r="O357">
        <v>9</v>
      </c>
      <c r="P357" s="6">
        <f>Work[[#This Row],[Delivered Date]]-Work[[#This Row],[Order Date]]</f>
        <v>5</v>
      </c>
      <c r="Q357" t="s">
        <v>14</v>
      </c>
      <c r="R357" t="s">
        <v>551</v>
      </c>
      <c r="S357" t="s">
        <v>29</v>
      </c>
    </row>
    <row r="358" spans="1:19" x14ac:dyDescent="0.35">
      <c r="A358">
        <v>36</v>
      </c>
      <c r="B358" t="s">
        <v>77</v>
      </c>
      <c r="C358" t="s">
        <v>17</v>
      </c>
      <c r="D358" t="s">
        <v>64</v>
      </c>
      <c r="E358" s="9">
        <v>45551</v>
      </c>
      <c r="F358" s="9">
        <v>45556</v>
      </c>
      <c r="G358" s="4" t="str">
        <f>TEXT(Work[[#This Row],[Delivered Date]],"mmm")</f>
        <v>Sept</v>
      </c>
      <c r="H358" s="16">
        <f>MONTH(Work[[#This Row],[Delivered Date]])</f>
        <v>9</v>
      </c>
      <c r="I358" s="1" t="str">
        <f>TEXT(Work[[#This Row],[Delivered Date]],"ddd")</f>
        <v>Sat</v>
      </c>
      <c r="J358" s="4">
        <f>_xlfn.XLOOKUP(Work[[#This Row],[Product Name]],Cost[Product Name],Cost[Cost Percentage],"NA")</f>
        <v>0.5</v>
      </c>
      <c r="K358" s="3">
        <v>497</v>
      </c>
      <c r="L358" s="3">
        <f>Work[[#This Row],[Unit Price]]*Work[[#This Row],[Quantity]]</f>
        <v>2485</v>
      </c>
      <c r="M358" s="3">
        <f>Work[[#This Row],[Revenue]]*Work[[#This Row],[cost percentage]]</f>
        <v>1242.5</v>
      </c>
      <c r="N358" s="3">
        <f>Work[[#This Row],[Revenue]]-Work[[#This Row],[Cost]]</f>
        <v>1242.5</v>
      </c>
      <c r="O358">
        <v>5</v>
      </c>
      <c r="P358" s="6">
        <f>Work[[#This Row],[Delivered Date]]-Work[[#This Row],[Order Date]]</f>
        <v>5</v>
      </c>
      <c r="Q358" t="s">
        <v>14</v>
      </c>
      <c r="R358" t="s">
        <v>547</v>
      </c>
      <c r="S358" t="s">
        <v>15</v>
      </c>
    </row>
    <row r="359" spans="1:19" x14ac:dyDescent="0.35">
      <c r="A359">
        <v>52</v>
      </c>
      <c r="B359" t="s">
        <v>95</v>
      </c>
      <c r="C359" t="s">
        <v>12</v>
      </c>
      <c r="D359" t="s">
        <v>96</v>
      </c>
      <c r="E359" s="9">
        <v>45555</v>
      </c>
      <c r="F359" s="9">
        <v>45562</v>
      </c>
      <c r="G359" s="4" t="str">
        <f>TEXT(Work[[#This Row],[Delivered Date]],"mmm")</f>
        <v>Sept</v>
      </c>
      <c r="H359" s="16">
        <f>MONTH(Work[[#This Row],[Delivered Date]])</f>
        <v>9</v>
      </c>
      <c r="I359" s="1" t="str">
        <f>TEXT(Work[[#This Row],[Delivered Date]],"ddd")</f>
        <v>Fri</v>
      </c>
      <c r="J359" s="4">
        <f>_xlfn.XLOOKUP(Work[[#This Row],[Product Name]],Cost[Product Name],Cost[Cost Percentage],"NA")</f>
        <v>0.7</v>
      </c>
      <c r="K359" s="3">
        <v>353</v>
      </c>
      <c r="L359" s="3">
        <f>Work[[#This Row],[Unit Price]]*Work[[#This Row],[Quantity]]</f>
        <v>3530</v>
      </c>
      <c r="M359" s="3">
        <f>Work[[#This Row],[Revenue]]*Work[[#This Row],[cost percentage]]</f>
        <v>2471</v>
      </c>
      <c r="N359" s="3">
        <f>Work[[#This Row],[Revenue]]-Work[[#This Row],[Cost]]</f>
        <v>1059</v>
      </c>
      <c r="O359">
        <v>10</v>
      </c>
      <c r="P359" s="6">
        <f>Work[[#This Row],[Delivered Date]]-Work[[#This Row],[Order Date]]</f>
        <v>7</v>
      </c>
      <c r="Q359" t="s">
        <v>28</v>
      </c>
      <c r="R359" t="s">
        <v>551</v>
      </c>
      <c r="S359" t="s">
        <v>46</v>
      </c>
    </row>
    <row r="360" spans="1:19" x14ac:dyDescent="0.35">
      <c r="A360">
        <v>53</v>
      </c>
      <c r="B360" t="s">
        <v>97</v>
      </c>
      <c r="C360" t="s">
        <v>17</v>
      </c>
      <c r="D360" t="s">
        <v>18</v>
      </c>
      <c r="E360" s="9">
        <v>45525</v>
      </c>
      <c r="F360" s="9">
        <v>45536</v>
      </c>
      <c r="G360" s="4" t="str">
        <f>TEXT(Work[[#This Row],[Delivered Date]],"mmm")</f>
        <v>Sept</v>
      </c>
      <c r="H360" s="16">
        <f>MONTH(Work[[#This Row],[Delivered Date]])</f>
        <v>9</v>
      </c>
      <c r="I360" s="1" t="str">
        <f>TEXT(Work[[#This Row],[Delivered Date]],"ddd")</f>
        <v>Sun</v>
      </c>
      <c r="J360" s="4">
        <f>_xlfn.XLOOKUP(Work[[#This Row],[Product Name]],Cost[Product Name],Cost[Cost Percentage],"NA")</f>
        <v>0.5</v>
      </c>
      <c r="K360" s="3">
        <v>917</v>
      </c>
      <c r="L360" s="3">
        <f>Work[[#This Row],[Unit Price]]*Work[[#This Row],[Quantity]]</f>
        <v>6419</v>
      </c>
      <c r="M360" s="3">
        <f>Work[[#This Row],[Revenue]]*Work[[#This Row],[cost percentage]]</f>
        <v>3209.5</v>
      </c>
      <c r="N360" s="3">
        <f>Work[[#This Row],[Revenue]]-Work[[#This Row],[Cost]]</f>
        <v>3209.5</v>
      </c>
      <c r="O360">
        <v>7</v>
      </c>
      <c r="P360" s="6">
        <f>Work[[#This Row],[Delivered Date]]-Work[[#This Row],[Order Date]]</f>
        <v>11</v>
      </c>
      <c r="Q360" t="s">
        <v>14</v>
      </c>
      <c r="R360" t="s">
        <v>33</v>
      </c>
      <c r="S360" t="s">
        <v>15</v>
      </c>
    </row>
    <row r="361" spans="1:19" x14ac:dyDescent="0.35">
      <c r="A361">
        <v>72</v>
      </c>
      <c r="B361" t="s">
        <v>118</v>
      </c>
      <c r="C361" t="s">
        <v>17</v>
      </c>
      <c r="D361" t="s">
        <v>56</v>
      </c>
      <c r="E361" s="9">
        <v>45534</v>
      </c>
      <c r="F361" s="9">
        <v>45547</v>
      </c>
      <c r="G361" s="4" t="str">
        <f>TEXT(Work[[#This Row],[Delivered Date]],"mmm")</f>
        <v>Sept</v>
      </c>
      <c r="H361" s="16">
        <f>MONTH(Work[[#This Row],[Delivered Date]])</f>
        <v>9</v>
      </c>
      <c r="I361" s="1" t="str">
        <f>TEXT(Work[[#This Row],[Delivered Date]],"ddd")</f>
        <v>Thu</v>
      </c>
      <c r="J361" s="4">
        <f>_xlfn.XLOOKUP(Work[[#This Row],[Product Name]],Cost[Product Name],Cost[Cost Percentage],"NA")</f>
        <v>0.55000000000000004</v>
      </c>
      <c r="K361" s="3">
        <v>553</v>
      </c>
      <c r="L361" s="3">
        <f>Work[[#This Row],[Unit Price]]*Work[[#This Row],[Quantity]]</f>
        <v>4977</v>
      </c>
      <c r="M361" s="3">
        <f>Work[[#This Row],[Revenue]]*Work[[#This Row],[cost percentage]]</f>
        <v>2737.3500000000004</v>
      </c>
      <c r="N361" s="3">
        <f>Work[[#This Row],[Revenue]]-Work[[#This Row],[Cost]]</f>
        <v>2239.6499999999996</v>
      </c>
      <c r="O361">
        <v>9</v>
      </c>
      <c r="P361" s="6">
        <f>Work[[#This Row],[Delivered Date]]-Work[[#This Row],[Order Date]]</f>
        <v>13</v>
      </c>
      <c r="Q361" t="s">
        <v>28</v>
      </c>
      <c r="R361" t="s">
        <v>547</v>
      </c>
      <c r="S361" t="s">
        <v>46</v>
      </c>
    </row>
    <row r="362" spans="1:19" x14ac:dyDescent="0.35">
      <c r="A362">
        <v>78</v>
      </c>
      <c r="B362" t="s">
        <v>124</v>
      </c>
      <c r="C362" t="s">
        <v>12</v>
      </c>
      <c r="D362" t="s">
        <v>27</v>
      </c>
      <c r="E362" s="9">
        <v>45543</v>
      </c>
      <c r="F362" s="9">
        <v>45556</v>
      </c>
      <c r="G362" s="4" t="str">
        <f>TEXT(Work[[#This Row],[Delivered Date]],"mmm")</f>
        <v>Sept</v>
      </c>
      <c r="H362" s="16">
        <f>MONTH(Work[[#This Row],[Delivered Date]])</f>
        <v>9</v>
      </c>
      <c r="I362" s="1" t="str">
        <f>TEXT(Work[[#This Row],[Delivered Date]],"ddd")</f>
        <v>Sat</v>
      </c>
      <c r="J362" s="4">
        <f>_xlfn.XLOOKUP(Work[[#This Row],[Product Name]],Cost[Product Name],Cost[Cost Percentage],"NA")</f>
        <v>0.65</v>
      </c>
      <c r="K362" s="3">
        <v>600</v>
      </c>
      <c r="L362" s="3">
        <f>Work[[#This Row],[Unit Price]]*Work[[#This Row],[Quantity]]</f>
        <v>1200</v>
      </c>
      <c r="M362" s="3">
        <f>Work[[#This Row],[Revenue]]*Work[[#This Row],[cost percentage]]</f>
        <v>780</v>
      </c>
      <c r="N362" s="3">
        <f>Work[[#This Row],[Revenue]]-Work[[#This Row],[Cost]]</f>
        <v>420</v>
      </c>
      <c r="O362">
        <v>2</v>
      </c>
      <c r="P362" s="6">
        <f>Work[[#This Row],[Delivered Date]]-Work[[#This Row],[Order Date]]</f>
        <v>13</v>
      </c>
      <c r="Q362" t="s">
        <v>14</v>
      </c>
      <c r="R362" t="s">
        <v>33</v>
      </c>
      <c r="S362" t="s">
        <v>29</v>
      </c>
    </row>
    <row r="363" spans="1:19" x14ac:dyDescent="0.35">
      <c r="A363">
        <v>85</v>
      </c>
      <c r="B363" t="s">
        <v>131</v>
      </c>
      <c r="C363" t="s">
        <v>24</v>
      </c>
      <c r="D363" t="s">
        <v>25</v>
      </c>
      <c r="E363" s="9">
        <v>45548</v>
      </c>
      <c r="F363" s="9">
        <v>45560</v>
      </c>
      <c r="G363" s="4" t="str">
        <f>TEXT(Work[[#This Row],[Delivered Date]],"mmm")</f>
        <v>Sept</v>
      </c>
      <c r="H363" s="16">
        <f>MONTH(Work[[#This Row],[Delivered Date]])</f>
        <v>9</v>
      </c>
      <c r="I363" s="1" t="str">
        <f>TEXT(Work[[#This Row],[Delivered Date]],"ddd")</f>
        <v>Wed</v>
      </c>
      <c r="J363" s="4">
        <f>_xlfn.XLOOKUP(Work[[#This Row],[Product Name]],Cost[Product Name],Cost[Cost Percentage],"NA")</f>
        <v>0.55000000000000004</v>
      </c>
      <c r="K363" s="3">
        <v>515</v>
      </c>
      <c r="L363" s="3">
        <f>Work[[#This Row],[Unit Price]]*Work[[#This Row],[Quantity]]</f>
        <v>4635</v>
      </c>
      <c r="M363" s="3">
        <f>Work[[#This Row],[Revenue]]*Work[[#This Row],[cost percentage]]</f>
        <v>2549.25</v>
      </c>
      <c r="N363" s="3">
        <f>Work[[#This Row],[Revenue]]-Work[[#This Row],[Cost]]</f>
        <v>2085.75</v>
      </c>
      <c r="O363">
        <v>9</v>
      </c>
      <c r="P363" s="6">
        <f>Work[[#This Row],[Delivered Date]]-Work[[#This Row],[Order Date]]</f>
        <v>12</v>
      </c>
      <c r="Q363" t="s">
        <v>28</v>
      </c>
      <c r="R363" t="s">
        <v>550</v>
      </c>
      <c r="S363" t="s">
        <v>15</v>
      </c>
    </row>
    <row r="364" spans="1:19" x14ac:dyDescent="0.35">
      <c r="A364">
        <v>96</v>
      </c>
      <c r="B364" t="s">
        <v>142</v>
      </c>
      <c r="C364" t="s">
        <v>12</v>
      </c>
      <c r="D364" t="s">
        <v>36</v>
      </c>
      <c r="E364" s="9">
        <v>45525</v>
      </c>
      <c r="F364" s="9">
        <v>45537</v>
      </c>
      <c r="G364" s="4" t="str">
        <f>TEXT(Work[[#This Row],[Delivered Date]],"mmm")</f>
        <v>Sept</v>
      </c>
      <c r="H364" s="16">
        <f>MONTH(Work[[#This Row],[Delivered Date]])</f>
        <v>9</v>
      </c>
      <c r="I364" s="1" t="str">
        <f>TEXT(Work[[#This Row],[Delivered Date]],"ddd")</f>
        <v>Mon</v>
      </c>
      <c r="J364" s="4">
        <f>_xlfn.XLOOKUP(Work[[#This Row],[Product Name]],Cost[Product Name],Cost[Cost Percentage],"NA")</f>
        <v>0.8</v>
      </c>
      <c r="K364" s="3">
        <v>749</v>
      </c>
      <c r="L364" s="3">
        <f>Work[[#This Row],[Unit Price]]*Work[[#This Row],[Quantity]]</f>
        <v>749</v>
      </c>
      <c r="M364" s="3">
        <f>Work[[#This Row],[Revenue]]*Work[[#This Row],[cost percentage]]</f>
        <v>599.20000000000005</v>
      </c>
      <c r="N364" s="3">
        <f>Work[[#This Row],[Revenue]]-Work[[#This Row],[Cost]]</f>
        <v>149.79999999999995</v>
      </c>
      <c r="O364">
        <v>1</v>
      </c>
      <c r="P364" s="6">
        <f>Work[[#This Row],[Delivered Date]]-Work[[#This Row],[Order Date]]</f>
        <v>12</v>
      </c>
      <c r="Q364" t="s">
        <v>28</v>
      </c>
      <c r="R364" t="s">
        <v>551</v>
      </c>
      <c r="S364" t="s">
        <v>15</v>
      </c>
    </row>
    <row r="365" spans="1:19" x14ac:dyDescent="0.35">
      <c r="A365">
        <v>97</v>
      </c>
      <c r="B365" t="s">
        <v>143</v>
      </c>
      <c r="C365" t="s">
        <v>21</v>
      </c>
      <c r="D365" t="s">
        <v>40</v>
      </c>
      <c r="E365" s="9">
        <v>45532</v>
      </c>
      <c r="F365" s="9">
        <v>45539</v>
      </c>
      <c r="G365" s="4" t="str">
        <f>TEXT(Work[[#This Row],[Delivered Date]],"mmm")</f>
        <v>Sept</v>
      </c>
      <c r="H365" s="16">
        <f>MONTH(Work[[#This Row],[Delivered Date]])</f>
        <v>9</v>
      </c>
      <c r="I365" s="1" t="str">
        <f>TEXT(Work[[#This Row],[Delivered Date]],"ddd")</f>
        <v>Wed</v>
      </c>
      <c r="J365" s="4">
        <f>_xlfn.XLOOKUP(Work[[#This Row],[Product Name]],Cost[Product Name],Cost[Cost Percentage],"NA")</f>
        <v>0.65</v>
      </c>
      <c r="K365" s="3">
        <v>356</v>
      </c>
      <c r="L365" s="3">
        <f>Work[[#This Row],[Unit Price]]*Work[[#This Row],[Quantity]]</f>
        <v>1780</v>
      </c>
      <c r="M365" s="3">
        <f>Work[[#This Row],[Revenue]]*Work[[#This Row],[cost percentage]]</f>
        <v>1157</v>
      </c>
      <c r="N365" s="3">
        <f>Work[[#This Row],[Revenue]]-Work[[#This Row],[Cost]]</f>
        <v>623</v>
      </c>
      <c r="O365">
        <v>5</v>
      </c>
      <c r="P365" s="6">
        <f>Work[[#This Row],[Delivered Date]]-Work[[#This Row],[Order Date]]</f>
        <v>7</v>
      </c>
      <c r="Q365" t="s">
        <v>28</v>
      </c>
      <c r="R365" t="s">
        <v>33</v>
      </c>
      <c r="S365" t="s">
        <v>15</v>
      </c>
    </row>
    <row r="366" spans="1:19" x14ac:dyDescent="0.35">
      <c r="A366">
        <v>106</v>
      </c>
      <c r="B366" t="s">
        <v>152</v>
      </c>
      <c r="C366" t="s">
        <v>31</v>
      </c>
      <c r="D366" t="s">
        <v>76</v>
      </c>
      <c r="E366" s="9">
        <v>45531</v>
      </c>
      <c r="F366" s="9">
        <v>45538</v>
      </c>
      <c r="G366" s="4" t="str">
        <f>TEXT(Work[[#This Row],[Delivered Date]],"mmm")</f>
        <v>Sept</v>
      </c>
      <c r="H366" s="16">
        <f>MONTH(Work[[#This Row],[Delivered Date]])</f>
        <v>9</v>
      </c>
      <c r="I366" s="1" t="str">
        <f>TEXT(Work[[#This Row],[Delivered Date]],"ddd")</f>
        <v>Tue</v>
      </c>
      <c r="J366" s="4">
        <f>_xlfn.XLOOKUP(Work[[#This Row],[Product Name]],Cost[Product Name],Cost[Cost Percentage],"NA")</f>
        <v>0.75</v>
      </c>
      <c r="K366" s="3">
        <v>154</v>
      </c>
      <c r="L366" s="3">
        <f>Work[[#This Row],[Unit Price]]*Work[[#This Row],[Quantity]]</f>
        <v>308</v>
      </c>
      <c r="M366" s="3">
        <f>Work[[#This Row],[Revenue]]*Work[[#This Row],[cost percentage]]</f>
        <v>231</v>
      </c>
      <c r="N366" s="3">
        <f>Work[[#This Row],[Revenue]]-Work[[#This Row],[Cost]]</f>
        <v>77</v>
      </c>
      <c r="O366">
        <v>2</v>
      </c>
      <c r="P366" s="6">
        <f>Work[[#This Row],[Delivered Date]]-Work[[#This Row],[Order Date]]</f>
        <v>7</v>
      </c>
      <c r="Q366" t="s">
        <v>28</v>
      </c>
      <c r="R366" t="s">
        <v>549</v>
      </c>
      <c r="S366" t="s">
        <v>29</v>
      </c>
    </row>
    <row r="367" spans="1:19" x14ac:dyDescent="0.35">
      <c r="A367">
        <v>116</v>
      </c>
      <c r="B367" t="s">
        <v>162</v>
      </c>
      <c r="C367" t="s">
        <v>24</v>
      </c>
      <c r="D367" t="s">
        <v>25</v>
      </c>
      <c r="E367" s="9">
        <v>45554</v>
      </c>
      <c r="F367" s="9">
        <v>45564</v>
      </c>
      <c r="G367" s="4" t="str">
        <f>TEXT(Work[[#This Row],[Delivered Date]],"mmm")</f>
        <v>Sept</v>
      </c>
      <c r="H367" s="16">
        <f>MONTH(Work[[#This Row],[Delivered Date]])</f>
        <v>9</v>
      </c>
      <c r="I367" s="1" t="str">
        <f>TEXT(Work[[#This Row],[Delivered Date]],"ddd")</f>
        <v>Sun</v>
      </c>
      <c r="J367" s="4">
        <f>_xlfn.XLOOKUP(Work[[#This Row],[Product Name]],Cost[Product Name],Cost[Cost Percentage],"NA")</f>
        <v>0.55000000000000004</v>
      </c>
      <c r="K367" s="3">
        <v>121</v>
      </c>
      <c r="L367" s="3">
        <f>Work[[#This Row],[Unit Price]]*Work[[#This Row],[Quantity]]</f>
        <v>1210</v>
      </c>
      <c r="M367" s="3">
        <f>Work[[#This Row],[Revenue]]*Work[[#This Row],[cost percentage]]</f>
        <v>665.5</v>
      </c>
      <c r="N367" s="3">
        <f>Work[[#This Row],[Revenue]]-Work[[#This Row],[Cost]]</f>
        <v>544.5</v>
      </c>
      <c r="O367">
        <v>10</v>
      </c>
      <c r="P367" s="6">
        <f>Work[[#This Row],[Delivered Date]]-Work[[#This Row],[Order Date]]</f>
        <v>10</v>
      </c>
      <c r="Q367" t="s">
        <v>14</v>
      </c>
      <c r="R367" t="s">
        <v>550</v>
      </c>
      <c r="S367" t="s">
        <v>29</v>
      </c>
    </row>
    <row r="368" spans="1:19" x14ac:dyDescent="0.35">
      <c r="A368">
        <v>133</v>
      </c>
      <c r="B368" t="s">
        <v>179</v>
      </c>
      <c r="C368" t="s">
        <v>12</v>
      </c>
      <c r="D368" t="s">
        <v>13</v>
      </c>
      <c r="E368" s="9">
        <v>45546</v>
      </c>
      <c r="F368" s="9">
        <v>45559</v>
      </c>
      <c r="G368" s="4" t="str">
        <f>TEXT(Work[[#This Row],[Delivered Date]],"mmm")</f>
        <v>Sept</v>
      </c>
      <c r="H368" s="16">
        <f>MONTH(Work[[#This Row],[Delivered Date]])</f>
        <v>9</v>
      </c>
      <c r="I368" s="1" t="str">
        <f>TEXT(Work[[#This Row],[Delivered Date]],"ddd")</f>
        <v>Tue</v>
      </c>
      <c r="J368" s="4">
        <f>_xlfn.XLOOKUP(Work[[#This Row],[Product Name]],Cost[Product Name],Cost[Cost Percentage],"NA")</f>
        <v>0.75</v>
      </c>
      <c r="K368" s="3">
        <v>189</v>
      </c>
      <c r="L368" s="3">
        <f>Work[[#This Row],[Unit Price]]*Work[[#This Row],[Quantity]]</f>
        <v>1323</v>
      </c>
      <c r="M368" s="3">
        <f>Work[[#This Row],[Revenue]]*Work[[#This Row],[cost percentage]]</f>
        <v>992.25</v>
      </c>
      <c r="N368" s="3">
        <f>Work[[#This Row],[Revenue]]-Work[[#This Row],[Cost]]</f>
        <v>330.75</v>
      </c>
      <c r="O368">
        <v>7</v>
      </c>
      <c r="P368" s="6">
        <f>Work[[#This Row],[Delivered Date]]-Work[[#This Row],[Order Date]]</f>
        <v>13</v>
      </c>
      <c r="Q368" t="s">
        <v>28</v>
      </c>
      <c r="R368" t="s">
        <v>551</v>
      </c>
      <c r="S368" t="s">
        <v>19</v>
      </c>
    </row>
    <row r="369" spans="1:19" x14ac:dyDescent="0.35">
      <c r="A369">
        <v>141</v>
      </c>
      <c r="B369" t="s">
        <v>187</v>
      </c>
      <c r="C369" t="s">
        <v>24</v>
      </c>
      <c r="D369" t="s">
        <v>115</v>
      </c>
      <c r="E369" s="9">
        <v>45532</v>
      </c>
      <c r="F369" s="9">
        <v>45543</v>
      </c>
      <c r="G369" s="4" t="str">
        <f>TEXT(Work[[#This Row],[Delivered Date]],"mmm")</f>
        <v>Sept</v>
      </c>
      <c r="H369" s="16">
        <f>MONTH(Work[[#This Row],[Delivered Date]])</f>
        <v>9</v>
      </c>
      <c r="I369" s="1" t="str">
        <f>TEXT(Work[[#This Row],[Delivered Date]],"ddd")</f>
        <v>Sun</v>
      </c>
      <c r="J369" s="4">
        <f>_xlfn.XLOOKUP(Work[[#This Row],[Product Name]],Cost[Product Name],Cost[Cost Percentage],"NA")</f>
        <v>0.6</v>
      </c>
      <c r="K369" s="3">
        <v>656</v>
      </c>
      <c r="L369" s="3">
        <f>Work[[#This Row],[Unit Price]]*Work[[#This Row],[Quantity]]</f>
        <v>5248</v>
      </c>
      <c r="M369" s="3">
        <f>Work[[#This Row],[Revenue]]*Work[[#This Row],[cost percentage]]</f>
        <v>3148.7999999999997</v>
      </c>
      <c r="N369" s="3">
        <f>Work[[#This Row],[Revenue]]-Work[[#This Row],[Cost]]</f>
        <v>2099.2000000000003</v>
      </c>
      <c r="O369">
        <v>8</v>
      </c>
      <c r="P369" s="6">
        <f>Work[[#This Row],[Delivered Date]]-Work[[#This Row],[Order Date]]</f>
        <v>11</v>
      </c>
      <c r="Q369" t="s">
        <v>28</v>
      </c>
      <c r="R369" t="s">
        <v>547</v>
      </c>
      <c r="S369" t="s">
        <v>15</v>
      </c>
    </row>
    <row r="370" spans="1:19" x14ac:dyDescent="0.35">
      <c r="A370">
        <v>142</v>
      </c>
      <c r="B370" t="s">
        <v>188</v>
      </c>
      <c r="C370" t="s">
        <v>12</v>
      </c>
      <c r="D370" t="s">
        <v>96</v>
      </c>
      <c r="E370" s="9">
        <v>45551</v>
      </c>
      <c r="F370" s="9">
        <v>45555</v>
      </c>
      <c r="G370" s="4" t="str">
        <f>TEXT(Work[[#This Row],[Delivered Date]],"mmm")</f>
        <v>Sept</v>
      </c>
      <c r="H370" s="16">
        <f>MONTH(Work[[#This Row],[Delivered Date]])</f>
        <v>9</v>
      </c>
      <c r="I370" s="1" t="str">
        <f>TEXT(Work[[#This Row],[Delivered Date]],"ddd")</f>
        <v>Fri</v>
      </c>
      <c r="J370" s="4">
        <f>_xlfn.XLOOKUP(Work[[#This Row],[Product Name]],Cost[Product Name],Cost[Cost Percentage],"NA")</f>
        <v>0.7</v>
      </c>
      <c r="K370" s="3">
        <v>327</v>
      </c>
      <c r="L370" s="3">
        <f>Work[[#This Row],[Unit Price]]*Work[[#This Row],[Quantity]]</f>
        <v>654</v>
      </c>
      <c r="M370" s="3">
        <f>Work[[#This Row],[Revenue]]*Work[[#This Row],[cost percentage]]</f>
        <v>457.79999999999995</v>
      </c>
      <c r="N370" s="3">
        <f>Work[[#This Row],[Revenue]]-Work[[#This Row],[Cost]]</f>
        <v>196.20000000000005</v>
      </c>
      <c r="O370">
        <v>2</v>
      </c>
      <c r="P370" s="6">
        <f>Work[[#This Row],[Delivered Date]]-Work[[#This Row],[Order Date]]</f>
        <v>4</v>
      </c>
      <c r="Q370" t="s">
        <v>14</v>
      </c>
      <c r="R370" t="s">
        <v>550</v>
      </c>
      <c r="S370" t="s">
        <v>46</v>
      </c>
    </row>
    <row r="371" spans="1:19" x14ac:dyDescent="0.35">
      <c r="A371">
        <v>156</v>
      </c>
      <c r="B371" t="s">
        <v>202</v>
      </c>
      <c r="C371" t="s">
        <v>12</v>
      </c>
      <c r="D371" t="s">
        <v>13</v>
      </c>
      <c r="E371" s="9">
        <v>45547</v>
      </c>
      <c r="F371" s="9">
        <v>45558</v>
      </c>
      <c r="G371" s="4" t="str">
        <f>TEXT(Work[[#This Row],[Delivered Date]],"mmm")</f>
        <v>Sept</v>
      </c>
      <c r="H371" s="16">
        <f>MONTH(Work[[#This Row],[Delivered Date]])</f>
        <v>9</v>
      </c>
      <c r="I371" s="1" t="str">
        <f>TEXT(Work[[#This Row],[Delivered Date]],"ddd")</f>
        <v>Mon</v>
      </c>
      <c r="J371" s="4">
        <f>_xlfn.XLOOKUP(Work[[#This Row],[Product Name]],Cost[Product Name],Cost[Cost Percentage],"NA")</f>
        <v>0.75</v>
      </c>
      <c r="K371" s="3">
        <v>558</v>
      </c>
      <c r="L371" s="3">
        <f>Work[[#This Row],[Unit Price]]*Work[[#This Row],[Quantity]]</f>
        <v>5580</v>
      </c>
      <c r="M371" s="3">
        <f>Work[[#This Row],[Revenue]]*Work[[#This Row],[cost percentage]]</f>
        <v>4185</v>
      </c>
      <c r="N371" s="3">
        <f>Work[[#This Row],[Revenue]]-Work[[#This Row],[Cost]]</f>
        <v>1395</v>
      </c>
      <c r="O371">
        <v>10</v>
      </c>
      <c r="P371" s="6">
        <f>Work[[#This Row],[Delivered Date]]-Work[[#This Row],[Order Date]]</f>
        <v>11</v>
      </c>
      <c r="Q371" t="s">
        <v>28</v>
      </c>
      <c r="R371" t="s">
        <v>551</v>
      </c>
      <c r="S371" t="s">
        <v>15</v>
      </c>
    </row>
    <row r="372" spans="1:19" x14ac:dyDescent="0.35">
      <c r="A372">
        <v>159</v>
      </c>
      <c r="B372" t="s">
        <v>205</v>
      </c>
      <c r="C372" t="s">
        <v>17</v>
      </c>
      <c r="D372" t="s">
        <v>60</v>
      </c>
      <c r="E372" s="9">
        <v>45551</v>
      </c>
      <c r="F372" s="9">
        <v>45558</v>
      </c>
      <c r="G372" s="4" t="str">
        <f>TEXT(Work[[#This Row],[Delivered Date]],"mmm")</f>
        <v>Sept</v>
      </c>
      <c r="H372" s="16">
        <f>MONTH(Work[[#This Row],[Delivered Date]])</f>
        <v>9</v>
      </c>
      <c r="I372" s="1" t="str">
        <f>TEXT(Work[[#This Row],[Delivered Date]],"ddd")</f>
        <v>Mon</v>
      </c>
      <c r="J372" s="4">
        <f>_xlfn.XLOOKUP(Work[[#This Row],[Product Name]],Cost[Product Name],Cost[Cost Percentage],"NA")</f>
        <v>0.65</v>
      </c>
      <c r="K372" s="3">
        <v>30</v>
      </c>
      <c r="L372" s="3">
        <f>Work[[#This Row],[Unit Price]]*Work[[#This Row],[Quantity]]</f>
        <v>270</v>
      </c>
      <c r="M372" s="3">
        <f>Work[[#This Row],[Revenue]]*Work[[#This Row],[cost percentage]]</f>
        <v>175.5</v>
      </c>
      <c r="N372" s="3">
        <f>Work[[#This Row],[Revenue]]-Work[[#This Row],[Cost]]</f>
        <v>94.5</v>
      </c>
      <c r="O372">
        <v>9</v>
      </c>
      <c r="P372" s="6">
        <f>Work[[#This Row],[Delivered Date]]-Work[[#This Row],[Order Date]]</f>
        <v>7</v>
      </c>
      <c r="Q372" t="s">
        <v>14</v>
      </c>
      <c r="R372" t="s">
        <v>550</v>
      </c>
      <c r="S372" t="s">
        <v>15</v>
      </c>
    </row>
    <row r="373" spans="1:19" x14ac:dyDescent="0.35">
      <c r="A373">
        <v>169</v>
      </c>
      <c r="B373" t="s">
        <v>215</v>
      </c>
      <c r="C373" t="s">
        <v>21</v>
      </c>
      <c r="D373" t="s">
        <v>40</v>
      </c>
      <c r="E373" s="9">
        <v>45523</v>
      </c>
      <c r="F373" s="9">
        <v>45536</v>
      </c>
      <c r="G373" s="4" t="str">
        <f>TEXT(Work[[#This Row],[Delivered Date]],"mmm")</f>
        <v>Sept</v>
      </c>
      <c r="H373" s="16">
        <f>MONTH(Work[[#This Row],[Delivered Date]])</f>
        <v>9</v>
      </c>
      <c r="I373" s="1" t="str">
        <f>TEXT(Work[[#This Row],[Delivered Date]],"ddd")</f>
        <v>Sun</v>
      </c>
      <c r="J373" s="4">
        <f>_xlfn.XLOOKUP(Work[[#This Row],[Product Name]],Cost[Product Name],Cost[Cost Percentage],"NA")</f>
        <v>0.65</v>
      </c>
      <c r="K373" s="3">
        <v>930</v>
      </c>
      <c r="L373" s="3">
        <f>Work[[#This Row],[Unit Price]]*Work[[#This Row],[Quantity]]</f>
        <v>2790</v>
      </c>
      <c r="M373" s="3">
        <f>Work[[#This Row],[Revenue]]*Work[[#This Row],[cost percentage]]</f>
        <v>1813.5</v>
      </c>
      <c r="N373" s="3">
        <f>Work[[#This Row],[Revenue]]-Work[[#This Row],[Cost]]</f>
        <v>976.5</v>
      </c>
      <c r="O373">
        <v>3</v>
      </c>
      <c r="P373" s="6">
        <f>Work[[#This Row],[Delivered Date]]-Work[[#This Row],[Order Date]]</f>
        <v>13</v>
      </c>
      <c r="Q373" t="s">
        <v>14</v>
      </c>
      <c r="R373" t="s">
        <v>33</v>
      </c>
      <c r="S373" t="s">
        <v>29</v>
      </c>
    </row>
    <row r="374" spans="1:19" x14ac:dyDescent="0.35">
      <c r="A374">
        <v>183</v>
      </c>
      <c r="B374" t="s">
        <v>229</v>
      </c>
      <c r="C374" t="s">
        <v>21</v>
      </c>
      <c r="D374" t="s">
        <v>52</v>
      </c>
      <c r="E374" s="9">
        <v>45555</v>
      </c>
      <c r="F374" s="9">
        <v>45562</v>
      </c>
      <c r="G374" s="4" t="str">
        <f>TEXT(Work[[#This Row],[Delivered Date]],"mmm")</f>
        <v>Sept</v>
      </c>
      <c r="H374" s="16">
        <f>MONTH(Work[[#This Row],[Delivered Date]])</f>
        <v>9</v>
      </c>
      <c r="I374" s="1" t="str">
        <f>TEXT(Work[[#This Row],[Delivered Date]],"ddd")</f>
        <v>Fri</v>
      </c>
      <c r="J374" s="4">
        <f>_xlfn.XLOOKUP(Work[[#This Row],[Product Name]],Cost[Product Name],Cost[Cost Percentage],"NA")</f>
        <v>0.7</v>
      </c>
      <c r="K374" s="3">
        <v>345</v>
      </c>
      <c r="L374" s="3">
        <f>Work[[#This Row],[Unit Price]]*Work[[#This Row],[Quantity]]</f>
        <v>1035</v>
      </c>
      <c r="M374" s="3">
        <f>Work[[#This Row],[Revenue]]*Work[[#This Row],[cost percentage]]</f>
        <v>724.5</v>
      </c>
      <c r="N374" s="3">
        <f>Work[[#This Row],[Revenue]]-Work[[#This Row],[Cost]]</f>
        <v>310.5</v>
      </c>
      <c r="O374">
        <v>3</v>
      </c>
      <c r="P374" s="6">
        <f>Work[[#This Row],[Delivered Date]]-Work[[#This Row],[Order Date]]</f>
        <v>7</v>
      </c>
      <c r="Q374" t="s">
        <v>14</v>
      </c>
      <c r="R374" t="s">
        <v>33</v>
      </c>
      <c r="S374" t="s">
        <v>46</v>
      </c>
    </row>
    <row r="375" spans="1:19" x14ac:dyDescent="0.35">
      <c r="A375">
        <v>198</v>
      </c>
      <c r="B375" t="s">
        <v>244</v>
      </c>
      <c r="C375" t="s">
        <v>12</v>
      </c>
      <c r="D375" t="s">
        <v>27</v>
      </c>
      <c r="E375" s="9">
        <v>45545</v>
      </c>
      <c r="F375" s="9">
        <v>45556</v>
      </c>
      <c r="G375" s="4" t="str">
        <f>TEXT(Work[[#This Row],[Delivered Date]],"mmm")</f>
        <v>Sept</v>
      </c>
      <c r="H375" s="16">
        <f>MONTH(Work[[#This Row],[Delivered Date]])</f>
        <v>9</v>
      </c>
      <c r="I375" s="1" t="str">
        <f>TEXT(Work[[#This Row],[Delivered Date]],"ddd")</f>
        <v>Sat</v>
      </c>
      <c r="J375" s="4">
        <f>_xlfn.XLOOKUP(Work[[#This Row],[Product Name]],Cost[Product Name],Cost[Cost Percentage],"NA")</f>
        <v>0.65</v>
      </c>
      <c r="K375" s="3">
        <v>969</v>
      </c>
      <c r="L375" s="3">
        <f>Work[[#This Row],[Unit Price]]*Work[[#This Row],[Quantity]]</f>
        <v>2907</v>
      </c>
      <c r="M375" s="3">
        <f>Work[[#This Row],[Revenue]]*Work[[#This Row],[cost percentage]]</f>
        <v>1889.55</v>
      </c>
      <c r="N375" s="3">
        <f>Work[[#This Row],[Revenue]]-Work[[#This Row],[Cost]]</f>
        <v>1017.45</v>
      </c>
      <c r="O375">
        <v>3</v>
      </c>
      <c r="P375" s="6">
        <f>Work[[#This Row],[Delivered Date]]-Work[[#This Row],[Order Date]]</f>
        <v>11</v>
      </c>
      <c r="Q375" t="s">
        <v>14</v>
      </c>
      <c r="R375" t="s">
        <v>33</v>
      </c>
      <c r="S375" t="s">
        <v>29</v>
      </c>
    </row>
    <row r="376" spans="1:19" x14ac:dyDescent="0.35">
      <c r="A376">
        <v>236</v>
      </c>
      <c r="B376" t="s">
        <v>282</v>
      </c>
      <c r="C376" t="s">
        <v>21</v>
      </c>
      <c r="D376" t="s">
        <v>40</v>
      </c>
      <c r="E376" s="9">
        <v>45547</v>
      </c>
      <c r="F376" s="9">
        <v>45555</v>
      </c>
      <c r="G376" s="4" t="str">
        <f>TEXT(Work[[#This Row],[Delivered Date]],"mmm")</f>
        <v>Sept</v>
      </c>
      <c r="H376" s="16">
        <f>MONTH(Work[[#This Row],[Delivered Date]])</f>
        <v>9</v>
      </c>
      <c r="I376" s="1" t="str">
        <f>TEXT(Work[[#This Row],[Delivered Date]],"ddd")</f>
        <v>Fri</v>
      </c>
      <c r="J376" s="4">
        <f>_xlfn.XLOOKUP(Work[[#This Row],[Product Name]],Cost[Product Name],Cost[Cost Percentage],"NA")</f>
        <v>0.65</v>
      </c>
      <c r="K376" s="3">
        <v>670</v>
      </c>
      <c r="L376" s="3">
        <f>Work[[#This Row],[Unit Price]]*Work[[#This Row],[Quantity]]</f>
        <v>4690</v>
      </c>
      <c r="M376" s="3">
        <f>Work[[#This Row],[Revenue]]*Work[[#This Row],[cost percentage]]</f>
        <v>3048.5</v>
      </c>
      <c r="N376" s="3">
        <f>Work[[#This Row],[Revenue]]-Work[[#This Row],[Cost]]</f>
        <v>1641.5</v>
      </c>
      <c r="O376">
        <v>7</v>
      </c>
      <c r="P376" s="6">
        <f>Work[[#This Row],[Delivered Date]]-Work[[#This Row],[Order Date]]</f>
        <v>8</v>
      </c>
      <c r="Q376" t="s">
        <v>28</v>
      </c>
      <c r="R376" t="s">
        <v>549</v>
      </c>
      <c r="S376" t="s">
        <v>46</v>
      </c>
    </row>
    <row r="377" spans="1:19" x14ac:dyDescent="0.35">
      <c r="A377">
        <v>291</v>
      </c>
      <c r="B377" t="s">
        <v>337</v>
      </c>
      <c r="C377" t="s">
        <v>12</v>
      </c>
      <c r="D377" t="s">
        <v>58</v>
      </c>
      <c r="E377" s="9">
        <v>45552</v>
      </c>
      <c r="F377" s="9">
        <v>45555</v>
      </c>
      <c r="G377" s="4" t="str">
        <f>TEXT(Work[[#This Row],[Delivered Date]],"mmm")</f>
        <v>Sept</v>
      </c>
      <c r="H377" s="16">
        <f>MONTH(Work[[#This Row],[Delivered Date]])</f>
        <v>9</v>
      </c>
      <c r="I377" s="1" t="str">
        <f>TEXT(Work[[#This Row],[Delivered Date]],"ddd")</f>
        <v>Fri</v>
      </c>
      <c r="J377" s="4">
        <f>_xlfn.XLOOKUP(Work[[#This Row],[Product Name]],Cost[Product Name],Cost[Cost Percentage],"NA")</f>
        <v>0.85</v>
      </c>
      <c r="K377" s="3">
        <v>55</v>
      </c>
      <c r="L377" s="3">
        <f>Work[[#This Row],[Unit Price]]*Work[[#This Row],[Quantity]]</f>
        <v>55</v>
      </c>
      <c r="M377" s="3">
        <f>Work[[#This Row],[Revenue]]*Work[[#This Row],[cost percentage]]</f>
        <v>46.75</v>
      </c>
      <c r="N377" s="3">
        <f>Work[[#This Row],[Revenue]]-Work[[#This Row],[Cost]]</f>
        <v>8.25</v>
      </c>
      <c r="O377">
        <v>1</v>
      </c>
      <c r="P377" s="6">
        <f>Work[[#This Row],[Delivered Date]]-Work[[#This Row],[Order Date]]</f>
        <v>3</v>
      </c>
      <c r="Q377" t="s">
        <v>14</v>
      </c>
      <c r="R377" t="s">
        <v>549</v>
      </c>
      <c r="S377" t="s">
        <v>46</v>
      </c>
    </row>
    <row r="378" spans="1:19" x14ac:dyDescent="0.35">
      <c r="A378">
        <v>297</v>
      </c>
      <c r="B378" t="s">
        <v>343</v>
      </c>
      <c r="C378" t="s">
        <v>24</v>
      </c>
      <c r="D378" t="s">
        <v>25</v>
      </c>
      <c r="E378" s="9">
        <v>45526</v>
      </c>
      <c r="F378" s="9">
        <v>45540</v>
      </c>
      <c r="G378" s="4" t="str">
        <f>TEXT(Work[[#This Row],[Delivered Date]],"mmm")</f>
        <v>Sept</v>
      </c>
      <c r="H378" s="16">
        <f>MONTH(Work[[#This Row],[Delivered Date]])</f>
        <v>9</v>
      </c>
      <c r="I378" s="1" t="str">
        <f>TEXT(Work[[#This Row],[Delivered Date]],"ddd")</f>
        <v>Thu</v>
      </c>
      <c r="J378" s="4">
        <f>_xlfn.XLOOKUP(Work[[#This Row],[Product Name]],Cost[Product Name],Cost[Cost Percentage],"NA")</f>
        <v>0.55000000000000004</v>
      </c>
      <c r="K378" s="3">
        <v>604</v>
      </c>
      <c r="L378" s="3">
        <f>Work[[#This Row],[Unit Price]]*Work[[#This Row],[Quantity]]</f>
        <v>1208</v>
      </c>
      <c r="M378" s="3">
        <f>Work[[#This Row],[Revenue]]*Work[[#This Row],[cost percentage]]</f>
        <v>664.40000000000009</v>
      </c>
      <c r="N378" s="3">
        <f>Work[[#This Row],[Revenue]]-Work[[#This Row],[Cost]]</f>
        <v>543.59999999999991</v>
      </c>
      <c r="O378">
        <v>2</v>
      </c>
      <c r="P378" s="6">
        <f>Work[[#This Row],[Delivered Date]]-Work[[#This Row],[Order Date]]</f>
        <v>14</v>
      </c>
      <c r="Q378" t="s">
        <v>14</v>
      </c>
      <c r="R378" t="s">
        <v>548</v>
      </c>
      <c r="S378" t="s">
        <v>15</v>
      </c>
    </row>
    <row r="379" spans="1:19" x14ac:dyDescent="0.35">
      <c r="A379">
        <v>314</v>
      </c>
      <c r="B379" t="s">
        <v>360</v>
      </c>
      <c r="C379" t="s">
        <v>31</v>
      </c>
      <c r="D379" t="s">
        <v>76</v>
      </c>
      <c r="E379" s="9">
        <v>45902</v>
      </c>
      <c r="F379" s="9">
        <v>45916</v>
      </c>
      <c r="G379" s="4" t="str">
        <f>TEXT(Work[[#This Row],[Delivered Date]],"mmm")</f>
        <v>Sept</v>
      </c>
      <c r="H379" s="16">
        <f>MONTH(Work[[#This Row],[Delivered Date]])</f>
        <v>9</v>
      </c>
      <c r="I379" s="1" t="str">
        <f>TEXT(Work[[#This Row],[Delivered Date]],"ddd")</f>
        <v>Tue</v>
      </c>
      <c r="J379" s="4">
        <f>_xlfn.XLOOKUP(Work[[#This Row],[Product Name]],Cost[Product Name],Cost[Cost Percentage],"NA")</f>
        <v>0.75</v>
      </c>
      <c r="K379" s="3">
        <v>530</v>
      </c>
      <c r="L379" s="3">
        <f>Work[[#This Row],[Unit Price]]*Work[[#This Row],[Quantity]]</f>
        <v>1060</v>
      </c>
      <c r="M379" s="3">
        <f>Work[[#This Row],[Revenue]]*Work[[#This Row],[cost percentage]]</f>
        <v>795</v>
      </c>
      <c r="N379" s="3">
        <f>Work[[#This Row],[Revenue]]-Work[[#This Row],[Cost]]</f>
        <v>265</v>
      </c>
      <c r="O379">
        <v>2</v>
      </c>
      <c r="P379" s="6">
        <f>Work[[#This Row],[Delivered Date]]-Work[[#This Row],[Order Date]]</f>
        <v>14</v>
      </c>
      <c r="Q379" t="s">
        <v>28</v>
      </c>
      <c r="R379" t="s">
        <v>550</v>
      </c>
      <c r="S379" t="s">
        <v>19</v>
      </c>
    </row>
    <row r="380" spans="1:19" x14ac:dyDescent="0.35">
      <c r="A380">
        <v>347</v>
      </c>
      <c r="B380" t="s">
        <v>393</v>
      </c>
      <c r="C380" t="s">
        <v>12</v>
      </c>
      <c r="D380" t="s">
        <v>27</v>
      </c>
      <c r="E380" s="9">
        <v>45911</v>
      </c>
      <c r="F380" s="9">
        <v>45917</v>
      </c>
      <c r="G380" s="4" t="str">
        <f>TEXT(Work[[#This Row],[Delivered Date]],"mmm")</f>
        <v>Sept</v>
      </c>
      <c r="H380" s="16">
        <f>MONTH(Work[[#This Row],[Delivered Date]])</f>
        <v>9</v>
      </c>
      <c r="I380" s="1" t="str">
        <f>TEXT(Work[[#This Row],[Delivered Date]],"ddd")</f>
        <v>Wed</v>
      </c>
      <c r="J380" s="4">
        <f>_xlfn.XLOOKUP(Work[[#This Row],[Product Name]],Cost[Product Name],Cost[Cost Percentage],"NA")</f>
        <v>0.65</v>
      </c>
      <c r="K380" s="3">
        <v>992</v>
      </c>
      <c r="L380" s="3">
        <f>Work[[#This Row],[Unit Price]]*Work[[#This Row],[Quantity]]</f>
        <v>5952</v>
      </c>
      <c r="M380" s="3">
        <f>Work[[#This Row],[Revenue]]*Work[[#This Row],[cost percentage]]</f>
        <v>3868.8</v>
      </c>
      <c r="N380" s="3">
        <f>Work[[#This Row],[Revenue]]-Work[[#This Row],[Cost]]</f>
        <v>2083.1999999999998</v>
      </c>
      <c r="O380">
        <v>6</v>
      </c>
      <c r="P380" s="6">
        <f>Work[[#This Row],[Delivered Date]]-Work[[#This Row],[Order Date]]</f>
        <v>6</v>
      </c>
      <c r="Q380" t="s">
        <v>28</v>
      </c>
      <c r="R380" t="s">
        <v>549</v>
      </c>
      <c r="S380" t="s">
        <v>15</v>
      </c>
    </row>
    <row r="381" spans="1:19" x14ac:dyDescent="0.35">
      <c r="A381">
        <v>348</v>
      </c>
      <c r="B381" t="s">
        <v>394</v>
      </c>
      <c r="C381" t="s">
        <v>24</v>
      </c>
      <c r="D381" t="s">
        <v>25</v>
      </c>
      <c r="E381" s="9">
        <v>45920</v>
      </c>
      <c r="F381" s="9">
        <v>45921</v>
      </c>
      <c r="G381" s="4" t="str">
        <f>TEXT(Work[[#This Row],[Delivered Date]],"mmm")</f>
        <v>Sept</v>
      </c>
      <c r="H381" s="16">
        <f>MONTH(Work[[#This Row],[Delivered Date]])</f>
        <v>9</v>
      </c>
      <c r="I381" s="1" t="str">
        <f>TEXT(Work[[#This Row],[Delivered Date]],"ddd")</f>
        <v>Sun</v>
      </c>
      <c r="J381" s="4">
        <f>_xlfn.XLOOKUP(Work[[#This Row],[Product Name]],Cost[Product Name],Cost[Cost Percentage],"NA")</f>
        <v>0.55000000000000004</v>
      </c>
      <c r="K381" s="3">
        <v>55</v>
      </c>
      <c r="L381" s="3">
        <f>Work[[#This Row],[Unit Price]]*Work[[#This Row],[Quantity]]</f>
        <v>275</v>
      </c>
      <c r="M381" s="3">
        <f>Work[[#This Row],[Revenue]]*Work[[#This Row],[cost percentage]]</f>
        <v>151.25</v>
      </c>
      <c r="N381" s="3">
        <f>Work[[#This Row],[Revenue]]-Work[[#This Row],[Cost]]</f>
        <v>123.75</v>
      </c>
      <c r="O381">
        <v>5</v>
      </c>
      <c r="P381" s="6">
        <f>Work[[#This Row],[Delivered Date]]-Work[[#This Row],[Order Date]]</f>
        <v>1</v>
      </c>
      <c r="Q381" t="s">
        <v>14</v>
      </c>
      <c r="R381" t="s">
        <v>551</v>
      </c>
      <c r="S381" t="s">
        <v>46</v>
      </c>
    </row>
    <row r="382" spans="1:19" x14ac:dyDescent="0.35">
      <c r="A382">
        <v>361</v>
      </c>
      <c r="B382" t="s">
        <v>407</v>
      </c>
      <c r="C382" t="s">
        <v>24</v>
      </c>
      <c r="D382" t="s">
        <v>38</v>
      </c>
      <c r="E382" s="9">
        <v>45892</v>
      </c>
      <c r="F382" s="9">
        <v>45903</v>
      </c>
      <c r="G382" s="4" t="str">
        <f>TEXT(Work[[#This Row],[Delivered Date]],"mmm")</f>
        <v>Sept</v>
      </c>
      <c r="H382" s="16">
        <f>MONTH(Work[[#This Row],[Delivered Date]])</f>
        <v>9</v>
      </c>
      <c r="I382" s="1" t="str">
        <f>TEXT(Work[[#This Row],[Delivered Date]],"ddd")</f>
        <v>Wed</v>
      </c>
      <c r="J382" s="4">
        <f>_xlfn.XLOOKUP(Work[[#This Row],[Product Name]],Cost[Product Name],Cost[Cost Percentage],"NA")</f>
        <v>0.5</v>
      </c>
      <c r="K382" s="3">
        <v>444</v>
      </c>
      <c r="L382" s="3">
        <f>Work[[#This Row],[Unit Price]]*Work[[#This Row],[Quantity]]</f>
        <v>1776</v>
      </c>
      <c r="M382" s="3">
        <f>Work[[#This Row],[Revenue]]*Work[[#This Row],[cost percentage]]</f>
        <v>888</v>
      </c>
      <c r="N382" s="3">
        <f>Work[[#This Row],[Revenue]]-Work[[#This Row],[Cost]]</f>
        <v>888</v>
      </c>
      <c r="O382">
        <v>4</v>
      </c>
      <c r="P382" s="6">
        <f>Work[[#This Row],[Delivered Date]]-Work[[#This Row],[Order Date]]</f>
        <v>11</v>
      </c>
      <c r="Q382" t="s">
        <v>28</v>
      </c>
      <c r="R382" t="s">
        <v>33</v>
      </c>
      <c r="S382" t="s">
        <v>15</v>
      </c>
    </row>
    <row r="383" spans="1:19" x14ac:dyDescent="0.35">
      <c r="A383">
        <v>370</v>
      </c>
      <c r="B383" t="s">
        <v>416</v>
      </c>
      <c r="C383" t="s">
        <v>24</v>
      </c>
      <c r="D383" t="s">
        <v>70</v>
      </c>
      <c r="E383" s="9">
        <v>45913</v>
      </c>
      <c r="F383" s="9">
        <v>45922</v>
      </c>
      <c r="G383" s="4" t="str">
        <f>TEXT(Work[[#This Row],[Delivered Date]],"mmm")</f>
        <v>Sept</v>
      </c>
      <c r="H383" s="16">
        <f>MONTH(Work[[#This Row],[Delivered Date]])</f>
        <v>9</v>
      </c>
      <c r="I383" s="1" t="str">
        <f>TEXT(Work[[#This Row],[Delivered Date]],"ddd")</f>
        <v>Mon</v>
      </c>
      <c r="J383" s="4">
        <f>_xlfn.XLOOKUP(Work[[#This Row],[Product Name]],Cost[Product Name],Cost[Cost Percentage],"NA")</f>
        <v>0.55000000000000004</v>
      </c>
      <c r="K383" s="3">
        <v>605</v>
      </c>
      <c r="L383" s="3">
        <f>Work[[#This Row],[Unit Price]]*Work[[#This Row],[Quantity]]</f>
        <v>5445</v>
      </c>
      <c r="M383" s="3">
        <f>Work[[#This Row],[Revenue]]*Work[[#This Row],[cost percentage]]</f>
        <v>2994.7500000000005</v>
      </c>
      <c r="N383" s="3">
        <f>Work[[#This Row],[Revenue]]-Work[[#This Row],[Cost]]</f>
        <v>2450.2499999999995</v>
      </c>
      <c r="O383">
        <v>9</v>
      </c>
      <c r="P383" s="6">
        <f>Work[[#This Row],[Delivered Date]]-Work[[#This Row],[Order Date]]</f>
        <v>9</v>
      </c>
      <c r="Q383" t="s">
        <v>28</v>
      </c>
      <c r="R383" t="s">
        <v>550</v>
      </c>
      <c r="S383" t="s">
        <v>46</v>
      </c>
    </row>
    <row r="384" spans="1:19" x14ac:dyDescent="0.35">
      <c r="A384">
        <v>376</v>
      </c>
      <c r="B384" t="s">
        <v>422</v>
      </c>
      <c r="C384" t="s">
        <v>21</v>
      </c>
      <c r="D384" t="s">
        <v>54</v>
      </c>
      <c r="E384" s="9">
        <v>45905</v>
      </c>
      <c r="F384" s="9">
        <v>45907</v>
      </c>
      <c r="G384" s="4" t="str">
        <f>TEXT(Work[[#This Row],[Delivered Date]],"mmm")</f>
        <v>Sept</v>
      </c>
      <c r="H384" s="16">
        <f>MONTH(Work[[#This Row],[Delivered Date]])</f>
        <v>9</v>
      </c>
      <c r="I384" s="1" t="str">
        <f>TEXT(Work[[#This Row],[Delivered Date]],"ddd")</f>
        <v>Sun</v>
      </c>
      <c r="J384" s="4">
        <f>_xlfn.XLOOKUP(Work[[#This Row],[Product Name]],Cost[Product Name],Cost[Cost Percentage],"NA")</f>
        <v>0.7</v>
      </c>
      <c r="K384" s="3">
        <v>117</v>
      </c>
      <c r="L384" s="3">
        <f>Work[[#This Row],[Unit Price]]*Work[[#This Row],[Quantity]]</f>
        <v>702</v>
      </c>
      <c r="M384" s="3">
        <f>Work[[#This Row],[Revenue]]*Work[[#This Row],[cost percentage]]</f>
        <v>491.4</v>
      </c>
      <c r="N384" s="3">
        <f>Work[[#This Row],[Revenue]]-Work[[#This Row],[Cost]]</f>
        <v>210.60000000000002</v>
      </c>
      <c r="O384">
        <v>6</v>
      </c>
      <c r="P384" s="6">
        <f>Work[[#This Row],[Delivered Date]]-Work[[#This Row],[Order Date]]</f>
        <v>2</v>
      </c>
      <c r="Q384" t="s">
        <v>14</v>
      </c>
      <c r="R384" t="s">
        <v>547</v>
      </c>
      <c r="S384" t="s">
        <v>15</v>
      </c>
    </row>
    <row r="385" spans="1:19" x14ac:dyDescent="0.35">
      <c r="A385">
        <v>402</v>
      </c>
      <c r="B385" t="s">
        <v>448</v>
      </c>
      <c r="C385" t="s">
        <v>21</v>
      </c>
      <c r="D385" t="s">
        <v>83</v>
      </c>
      <c r="E385" s="9">
        <v>45901</v>
      </c>
      <c r="F385" s="9">
        <v>45903</v>
      </c>
      <c r="G385" s="4" t="str">
        <f>TEXT(Work[[#This Row],[Delivered Date]],"mmm")</f>
        <v>Sept</v>
      </c>
      <c r="H385" s="16">
        <f>MONTH(Work[[#This Row],[Delivered Date]])</f>
        <v>9</v>
      </c>
      <c r="I385" s="1" t="str">
        <f>TEXT(Work[[#This Row],[Delivered Date]],"ddd")</f>
        <v>Wed</v>
      </c>
      <c r="J385" s="4">
        <f>_xlfn.XLOOKUP(Work[[#This Row],[Product Name]],Cost[Product Name],Cost[Cost Percentage],"NA")</f>
        <v>0.8</v>
      </c>
      <c r="K385" s="3">
        <v>204</v>
      </c>
      <c r="L385" s="3">
        <f>Work[[#This Row],[Unit Price]]*Work[[#This Row],[Quantity]]</f>
        <v>1632</v>
      </c>
      <c r="M385" s="3">
        <f>Work[[#This Row],[Revenue]]*Work[[#This Row],[cost percentage]]</f>
        <v>1305.6000000000001</v>
      </c>
      <c r="N385" s="3">
        <f>Work[[#This Row],[Revenue]]-Work[[#This Row],[Cost]]</f>
        <v>326.39999999999986</v>
      </c>
      <c r="O385">
        <v>8</v>
      </c>
      <c r="P385" s="6">
        <f>Work[[#This Row],[Delivered Date]]-Work[[#This Row],[Order Date]]</f>
        <v>2</v>
      </c>
      <c r="Q385" t="s">
        <v>28</v>
      </c>
      <c r="R385" t="s">
        <v>33</v>
      </c>
      <c r="S385" t="s">
        <v>15</v>
      </c>
    </row>
    <row r="386" spans="1:19" x14ac:dyDescent="0.35">
      <c r="A386">
        <v>414</v>
      </c>
      <c r="B386" t="s">
        <v>460</v>
      </c>
      <c r="C386" t="s">
        <v>12</v>
      </c>
      <c r="D386" t="s">
        <v>58</v>
      </c>
      <c r="E386" s="9">
        <v>45909</v>
      </c>
      <c r="F386" s="9">
        <v>45911</v>
      </c>
      <c r="G386" s="4" t="str">
        <f>TEXT(Work[[#This Row],[Delivered Date]],"mmm")</f>
        <v>Sept</v>
      </c>
      <c r="H386" s="16">
        <f>MONTH(Work[[#This Row],[Delivered Date]])</f>
        <v>9</v>
      </c>
      <c r="I386" s="1" t="str">
        <f>TEXT(Work[[#This Row],[Delivered Date]],"ddd")</f>
        <v>Thu</v>
      </c>
      <c r="J386" s="4">
        <f>_xlfn.XLOOKUP(Work[[#This Row],[Product Name]],Cost[Product Name],Cost[Cost Percentage],"NA")</f>
        <v>0.85</v>
      </c>
      <c r="K386" s="3">
        <v>249</v>
      </c>
      <c r="L386" s="3">
        <f>Work[[#This Row],[Unit Price]]*Work[[#This Row],[Quantity]]</f>
        <v>996</v>
      </c>
      <c r="M386" s="3">
        <f>Work[[#This Row],[Revenue]]*Work[[#This Row],[cost percentage]]</f>
        <v>846.6</v>
      </c>
      <c r="N386" s="3">
        <f>Work[[#This Row],[Revenue]]-Work[[#This Row],[Cost]]</f>
        <v>149.39999999999998</v>
      </c>
      <c r="O386">
        <v>4</v>
      </c>
      <c r="P386" s="6">
        <f>Work[[#This Row],[Delivered Date]]-Work[[#This Row],[Order Date]]</f>
        <v>2</v>
      </c>
      <c r="Q386" t="s">
        <v>28</v>
      </c>
      <c r="R386" t="s">
        <v>551</v>
      </c>
      <c r="S386" t="s">
        <v>15</v>
      </c>
    </row>
    <row r="387" spans="1:19" x14ac:dyDescent="0.35">
      <c r="A387">
        <v>417</v>
      </c>
      <c r="B387" t="s">
        <v>463</v>
      </c>
      <c r="C387" t="s">
        <v>24</v>
      </c>
      <c r="D387" t="s">
        <v>38</v>
      </c>
      <c r="E387" s="9">
        <v>45897</v>
      </c>
      <c r="F387" s="9">
        <v>45904</v>
      </c>
      <c r="G387" s="4" t="str">
        <f>TEXT(Work[[#This Row],[Delivered Date]],"mmm")</f>
        <v>Sept</v>
      </c>
      <c r="H387" s="16">
        <f>MONTH(Work[[#This Row],[Delivered Date]])</f>
        <v>9</v>
      </c>
      <c r="I387" s="1" t="str">
        <f>TEXT(Work[[#This Row],[Delivered Date]],"ddd")</f>
        <v>Thu</v>
      </c>
      <c r="J387" s="4">
        <f>_xlfn.XLOOKUP(Work[[#This Row],[Product Name]],Cost[Product Name],Cost[Cost Percentage],"NA")</f>
        <v>0.5</v>
      </c>
      <c r="K387" s="3">
        <v>687</v>
      </c>
      <c r="L387" s="3">
        <f>Work[[#This Row],[Unit Price]]*Work[[#This Row],[Quantity]]</f>
        <v>6183</v>
      </c>
      <c r="M387" s="3">
        <f>Work[[#This Row],[Revenue]]*Work[[#This Row],[cost percentage]]</f>
        <v>3091.5</v>
      </c>
      <c r="N387" s="3">
        <f>Work[[#This Row],[Revenue]]-Work[[#This Row],[Cost]]</f>
        <v>3091.5</v>
      </c>
      <c r="O387">
        <v>9</v>
      </c>
      <c r="P387" s="6">
        <f>Work[[#This Row],[Delivered Date]]-Work[[#This Row],[Order Date]]</f>
        <v>7</v>
      </c>
      <c r="Q387" t="s">
        <v>28</v>
      </c>
      <c r="R387" t="s">
        <v>547</v>
      </c>
      <c r="S387" t="s">
        <v>29</v>
      </c>
    </row>
    <row r="388" spans="1:19" x14ac:dyDescent="0.35">
      <c r="A388">
        <v>432</v>
      </c>
      <c r="B388" t="s">
        <v>478</v>
      </c>
      <c r="C388" t="s">
        <v>21</v>
      </c>
      <c r="D388" t="s">
        <v>83</v>
      </c>
      <c r="E388" s="9">
        <v>45925</v>
      </c>
      <c r="F388" s="9">
        <v>45930</v>
      </c>
      <c r="G388" s="4" t="str">
        <f>TEXT(Work[[#This Row],[Delivered Date]],"mmm")</f>
        <v>Sept</v>
      </c>
      <c r="H388" s="16">
        <f>MONTH(Work[[#This Row],[Delivered Date]])</f>
        <v>9</v>
      </c>
      <c r="I388" s="1" t="str">
        <f>TEXT(Work[[#This Row],[Delivered Date]],"ddd")</f>
        <v>Tue</v>
      </c>
      <c r="J388" s="4">
        <f>_xlfn.XLOOKUP(Work[[#This Row],[Product Name]],Cost[Product Name],Cost[Cost Percentage],"NA")</f>
        <v>0.8</v>
      </c>
      <c r="K388" s="3">
        <v>993</v>
      </c>
      <c r="L388" s="3">
        <f>Work[[#This Row],[Unit Price]]*Work[[#This Row],[Quantity]]</f>
        <v>5958</v>
      </c>
      <c r="M388" s="3">
        <f>Work[[#This Row],[Revenue]]*Work[[#This Row],[cost percentage]]</f>
        <v>4766.4000000000005</v>
      </c>
      <c r="N388" s="3">
        <f>Work[[#This Row],[Revenue]]-Work[[#This Row],[Cost]]</f>
        <v>1191.5999999999995</v>
      </c>
      <c r="O388">
        <v>6</v>
      </c>
      <c r="P388" s="6">
        <f>Work[[#This Row],[Delivered Date]]-Work[[#This Row],[Order Date]]</f>
        <v>5</v>
      </c>
      <c r="Q388" t="s">
        <v>28</v>
      </c>
      <c r="R388" t="s">
        <v>547</v>
      </c>
      <c r="S388" t="s">
        <v>15</v>
      </c>
    </row>
    <row r="389" spans="1:19" x14ac:dyDescent="0.35">
      <c r="A389">
        <v>446</v>
      </c>
      <c r="B389" t="s">
        <v>492</v>
      </c>
      <c r="C389" t="s">
        <v>21</v>
      </c>
      <c r="D389" t="s">
        <v>83</v>
      </c>
      <c r="E389" s="9">
        <v>45924</v>
      </c>
      <c r="F389" s="9">
        <v>45925</v>
      </c>
      <c r="G389" s="4" t="str">
        <f>TEXT(Work[[#This Row],[Delivered Date]],"mmm")</f>
        <v>Sept</v>
      </c>
      <c r="H389" s="16">
        <f>MONTH(Work[[#This Row],[Delivered Date]])</f>
        <v>9</v>
      </c>
      <c r="I389" s="1" t="str">
        <f>TEXT(Work[[#This Row],[Delivered Date]],"ddd")</f>
        <v>Thu</v>
      </c>
      <c r="J389" s="4">
        <f>_xlfn.XLOOKUP(Work[[#This Row],[Product Name]],Cost[Product Name],Cost[Cost Percentage],"NA")</f>
        <v>0.8</v>
      </c>
      <c r="K389" s="3">
        <v>252</v>
      </c>
      <c r="L389" s="3">
        <f>Work[[#This Row],[Unit Price]]*Work[[#This Row],[Quantity]]</f>
        <v>1512</v>
      </c>
      <c r="M389" s="3">
        <f>Work[[#This Row],[Revenue]]*Work[[#This Row],[cost percentage]]</f>
        <v>1209.6000000000001</v>
      </c>
      <c r="N389" s="3">
        <f>Work[[#This Row],[Revenue]]-Work[[#This Row],[Cost]]</f>
        <v>302.39999999999986</v>
      </c>
      <c r="O389">
        <v>6</v>
      </c>
      <c r="P389" s="6">
        <f>Work[[#This Row],[Delivered Date]]-Work[[#This Row],[Order Date]]</f>
        <v>1</v>
      </c>
      <c r="Q389" t="s">
        <v>14</v>
      </c>
      <c r="R389" t="s">
        <v>551</v>
      </c>
      <c r="S389" t="s">
        <v>15</v>
      </c>
    </row>
    <row r="390" spans="1:19" x14ac:dyDescent="0.35">
      <c r="A390">
        <v>455</v>
      </c>
      <c r="B390" t="s">
        <v>501</v>
      </c>
      <c r="C390" t="s">
        <v>31</v>
      </c>
      <c r="D390" t="s">
        <v>32</v>
      </c>
      <c r="E390" s="9">
        <v>45917</v>
      </c>
      <c r="F390" s="9">
        <v>45923</v>
      </c>
      <c r="G390" s="4" t="str">
        <f>TEXT(Work[[#This Row],[Delivered Date]],"mmm")</f>
        <v>Sept</v>
      </c>
      <c r="H390" s="16">
        <f>MONTH(Work[[#This Row],[Delivered Date]])</f>
        <v>9</v>
      </c>
      <c r="I390" s="1" t="str">
        <f>TEXT(Work[[#This Row],[Delivered Date]],"ddd")</f>
        <v>Tue</v>
      </c>
      <c r="J390" s="4">
        <f>_xlfn.XLOOKUP(Work[[#This Row],[Product Name]],Cost[Product Name],Cost[Cost Percentage],"NA")</f>
        <v>0.75</v>
      </c>
      <c r="K390" s="3">
        <v>805</v>
      </c>
      <c r="L390" s="3">
        <f>Work[[#This Row],[Unit Price]]*Work[[#This Row],[Quantity]]</f>
        <v>805</v>
      </c>
      <c r="M390" s="3">
        <f>Work[[#This Row],[Revenue]]*Work[[#This Row],[cost percentage]]</f>
        <v>603.75</v>
      </c>
      <c r="N390" s="3">
        <f>Work[[#This Row],[Revenue]]-Work[[#This Row],[Cost]]</f>
        <v>201.25</v>
      </c>
      <c r="O390">
        <v>1</v>
      </c>
      <c r="P390" s="6">
        <f>Work[[#This Row],[Delivered Date]]-Work[[#This Row],[Order Date]]</f>
        <v>6</v>
      </c>
      <c r="Q390" t="s">
        <v>28</v>
      </c>
      <c r="R390" t="s">
        <v>549</v>
      </c>
      <c r="S390" t="s">
        <v>29</v>
      </c>
    </row>
    <row r="391" spans="1:19" x14ac:dyDescent="0.35">
      <c r="A391">
        <v>460</v>
      </c>
      <c r="B391" t="s">
        <v>506</v>
      </c>
      <c r="C391" t="s">
        <v>17</v>
      </c>
      <c r="D391" t="s">
        <v>18</v>
      </c>
      <c r="E391" s="9">
        <v>45925</v>
      </c>
      <c r="F391" s="9">
        <v>45930</v>
      </c>
      <c r="G391" s="4" t="str">
        <f>TEXT(Work[[#This Row],[Delivered Date]],"mmm")</f>
        <v>Sept</v>
      </c>
      <c r="H391" s="16">
        <f>MONTH(Work[[#This Row],[Delivered Date]])</f>
        <v>9</v>
      </c>
      <c r="I391" s="1" t="str">
        <f>TEXT(Work[[#This Row],[Delivered Date]],"ddd")</f>
        <v>Tue</v>
      </c>
      <c r="J391" s="4">
        <f>_xlfn.XLOOKUP(Work[[#This Row],[Product Name]],Cost[Product Name],Cost[Cost Percentage],"NA")</f>
        <v>0.5</v>
      </c>
      <c r="K391" s="3">
        <v>203</v>
      </c>
      <c r="L391" s="3">
        <f>Work[[#This Row],[Unit Price]]*Work[[#This Row],[Quantity]]</f>
        <v>1624</v>
      </c>
      <c r="M391" s="3">
        <f>Work[[#This Row],[Revenue]]*Work[[#This Row],[cost percentage]]</f>
        <v>812</v>
      </c>
      <c r="N391" s="3">
        <f>Work[[#This Row],[Revenue]]-Work[[#This Row],[Cost]]</f>
        <v>812</v>
      </c>
      <c r="O391">
        <v>8</v>
      </c>
      <c r="P391" s="6">
        <f>Work[[#This Row],[Delivered Date]]-Work[[#This Row],[Order Date]]</f>
        <v>5</v>
      </c>
      <c r="Q391" t="s">
        <v>14</v>
      </c>
      <c r="R391" t="s">
        <v>547</v>
      </c>
      <c r="S391" t="s">
        <v>19</v>
      </c>
    </row>
    <row r="392" spans="1:19" x14ac:dyDescent="0.35">
      <c r="A392">
        <v>473</v>
      </c>
      <c r="B392" t="s">
        <v>519</v>
      </c>
      <c r="C392" t="s">
        <v>17</v>
      </c>
      <c r="D392" t="s">
        <v>44</v>
      </c>
      <c r="E392" s="9">
        <v>45921</v>
      </c>
      <c r="F392" s="9">
        <v>45928</v>
      </c>
      <c r="G392" s="4" t="str">
        <f>TEXT(Work[[#This Row],[Delivered Date]],"mmm")</f>
        <v>Sept</v>
      </c>
      <c r="H392" s="16">
        <f>MONTH(Work[[#This Row],[Delivered Date]])</f>
        <v>9</v>
      </c>
      <c r="I392" s="1" t="str">
        <f>TEXT(Work[[#This Row],[Delivered Date]],"ddd")</f>
        <v>Sun</v>
      </c>
      <c r="J392" s="4">
        <f>_xlfn.XLOOKUP(Work[[#This Row],[Product Name]],Cost[Product Name],Cost[Cost Percentage],"NA")</f>
        <v>0.6</v>
      </c>
      <c r="K392" s="3">
        <v>485</v>
      </c>
      <c r="L392" s="3">
        <f>Work[[#This Row],[Unit Price]]*Work[[#This Row],[Quantity]]</f>
        <v>4365</v>
      </c>
      <c r="M392" s="3">
        <f>Work[[#This Row],[Revenue]]*Work[[#This Row],[cost percentage]]</f>
        <v>2619</v>
      </c>
      <c r="N392" s="3">
        <f>Work[[#This Row],[Revenue]]-Work[[#This Row],[Cost]]</f>
        <v>1746</v>
      </c>
      <c r="O392">
        <v>9</v>
      </c>
      <c r="P392" s="6">
        <f>Work[[#This Row],[Delivered Date]]-Work[[#This Row],[Order Date]]</f>
        <v>7</v>
      </c>
      <c r="Q392" t="s">
        <v>28</v>
      </c>
      <c r="R392" t="s">
        <v>550</v>
      </c>
      <c r="S392" t="s">
        <v>29</v>
      </c>
    </row>
    <row r="393" spans="1:19" x14ac:dyDescent="0.35">
      <c r="A393">
        <v>474</v>
      </c>
      <c r="B393" t="s">
        <v>520</v>
      </c>
      <c r="C393" t="s">
        <v>24</v>
      </c>
      <c r="D393" t="s">
        <v>25</v>
      </c>
      <c r="E393" s="9">
        <v>45909</v>
      </c>
      <c r="F393" s="9">
        <v>45911</v>
      </c>
      <c r="G393" s="4" t="str">
        <f>TEXT(Work[[#This Row],[Delivered Date]],"mmm")</f>
        <v>Sept</v>
      </c>
      <c r="H393" s="16">
        <f>MONTH(Work[[#This Row],[Delivered Date]])</f>
        <v>9</v>
      </c>
      <c r="I393" s="1" t="str">
        <f>TEXT(Work[[#This Row],[Delivered Date]],"ddd")</f>
        <v>Thu</v>
      </c>
      <c r="J393" s="4">
        <f>_xlfn.XLOOKUP(Work[[#This Row],[Product Name]],Cost[Product Name],Cost[Cost Percentage],"NA")</f>
        <v>0.55000000000000004</v>
      </c>
      <c r="K393" s="3">
        <v>31</v>
      </c>
      <c r="L393" s="3">
        <f>Work[[#This Row],[Unit Price]]*Work[[#This Row],[Quantity]]</f>
        <v>62</v>
      </c>
      <c r="M393" s="3">
        <f>Work[[#This Row],[Revenue]]*Work[[#This Row],[cost percentage]]</f>
        <v>34.1</v>
      </c>
      <c r="N393" s="3">
        <f>Work[[#This Row],[Revenue]]-Work[[#This Row],[Cost]]</f>
        <v>27.9</v>
      </c>
      <c r="O393">
        <v>2</v>
      </c>
      <c r="P393" s="6">
        <f>Work[[#This Row],[Delivered Date]]-Work[[#This Row],[Order Date]]</f>
        <v>2</v>
      </c>
      <c r="Q393" t="s">
        <v>28</v>
      </c>
      <c r="R393" t="s">
        <v>547</v>
      </c>
      <c r="S393" t="s">
        <v>15</v>
      </c>
    </row>
    <row r="394" spans="1:19" x14ac:dyDescent="0.35">
      <c r="A394">
        <v>475</v>
      </c>
      <c r="B394" t="s">
        <v>521</v>
      </c>
      <c r="C394" t="s">
        <v>17</v>
      </c>
      <c r="D394" t="s">
        <v>56</v>
      </c>
      <c r="E394" s="9">
        <v>45912</v>
      </c>
      <c r="F394" s="9">
        <v>45914</v>
      </c>
      <c r="G394" s="4" t="str">
        <f>TEXT(Work[[#This Row],[Delivered Date]],"mmm")</f>
        <v>Sept</v>
      </c>
      <c r="H394" s="16">
        <f>MONTH(Work[[#This Row],[Delivered Date]])</f>
        <v>9</v>
      </c>
      <c r="I394" s="1" t="str">
        <f>TEXT(Work[[#This Row],[Delivered Date]],"ddd")</f>
        <v>Sun</v>
      </c>
      <c r="J394" s="4">
        <f>_xlfn.XLOOKUP(Work[[#This Row],[Product Name]],Cost[Product Name],Cost[Cost Percentage],"NA")</f>
        <v>0.55000000000000004</v>
      </c>
      <c r="K394" s="3">
        <v>806</v>
      </c>
      <c r="L394" s="3">
        <f>Work[[#This Row],[Unit Price]]*Work[[#This Row],[Quantity]]</f>
        <v>4836</v>
      </c>
      <c r="M394" s="3">
        <f>Work[[#This Row],[Revenue]]*Work[[#This Row],[cost percentage]]</f>
        <v>2659.8</v>
      </c>
      <c r="N394" s="3">
        <f>Work[[#This Row],[Revenue]]-Work[[#This Row],[Cost]]</f>
        <v>2176.1999999999998</v>
      </c>
      <c r="O394">
        <v>6</v>
      </c>
      <c r="P394" s="6">
        <f>Work[[#This Row],[Delivered Date]]-Work[[#This Row],[Order Date]]</f>
        <v>2</v>
      </c>
      <c r="Q394" t="s">
        <v>14</v>
      </c>
      <c r="R394" t="s">
        <v>33</v>
      </c>
      <c r="S394" t="s">
        <v>15</v>
      </c>
    </row>
    <row r="395" spans="1:19" x14ac:dyDescent="0.35">
      <c r="A395">
        <v>484</v>
      </c>
      <c r="B395" t="s">
        <v>530</v>
      </c>
      <c r="C395" t="s">
        <v>31</v>
      </c>
      <c r="D395" t="s">
        <v>76</v>
      </c>
      <c r="E395" s="9">
        <v>45920</v>
      </c>
      <c r="F395" s="9">
        <v>45924</v>
      </c>
      <c r="G395" s="4" t="str">
        <f>TEXT(Work[[#This Row],[Delivered Date]],"mmm")</f>
        <v>Sept</v>
      </c>
      <c r="H395" s="16">
        <f>MONTH(Work[[#This Row],[Delivered Date]])</f>
        <v>9</v>
      </c>
      <c r="I395" s="1" t="str">
        <f>TEXT(Work[[#This Row],[Delivered Date]],"ddd")</f>
        <v>Wed</v>
      </c>
      <c r="J395" s="4">
        <f>_xlfn.XLOOKUP(Work[[#This Row],[Product Name]],Cost[Product Name],Cost[Cost Percentage],"NA")</f>
        <v>0.75</v>
      </c>
      <c r="K395" s="3">
        <v>419</v>
      </c>
      <c r="L395" s="3">
        <f>Work[[#This Row],[Unit Price]]*Work[[#This Row],[Quantity]]</f>
        <v>3352</v>
      </c>
      <c r="M395" s="3">
        <f>Work[[#This Row],[Revenue]]*Work[[#This Row],[cost percentage]]</f>
        <v>2514</v>
      </c>
      <c r="N395" s="3">
        <f>Work[[#This Row],[Revenue]]-Work[[#This Row],[Cost]]</f>
        <v>838</v>
      </c>
      <c r="O395">
        <v>8</v>
      </c>
      <c r="P395" s="6">
        <f>Work[[#This Row],[Delivered Date]]-Work[[#This Row],[Order Date]]</f>
        <v>4</v>
      </c>
      <c r="Q395" t="s">
        <v>28</v>
      </c>
      <c r="R395" t="s">
        <v>551</v>
      </c>
      <c r="S395" t="s">
        <v>46</v>
      </c>
    </row>
    <row r="396" spans="1:19" x14ac:dyDescent="0.35">
      <c r="A396">
        <v>495</v>
      </c>
      <c r="B396" t="s">
        <v>57</v>
      </c>
      <c r="C396" t="s">
        <v>31</v>
      </c>
      <c r="D396" t="s">
        <v>50</v>
      </c>
      <c r="E396" s="9">
        <v>45916</v>
      </c>
      <c r="F396" s="9">
        <v>45919</v>
      </c>
      <c r="G396" s="4" t="str">
        <f>TEXT(Work[[#This Row],[Delivered Date]],"mmm")</f>
        <v>Sept</v>
      </c>
      <c r="H396" s="16">
        <f>MONTH(Work[[#This Row],[Delivered Date]])</f>
        <v>9</v>
      </c>
      <c r="I396" s="1" t="str">
        <f>TEXT(Work[[#This Row],[Delivered Date]],"ddd")</f>
        <v>Fri</v>
      </c>
      <c r="J396" s="4">
        <f>_xlfn.XLOOKUP(Work[[#This Row],[Product Name]],Cost[Product Name],Cost[Cost Percentage],"NA")</f>
        <v>0.7</v>
      </c>
      <c r="K396" s="3">
        <v>741</v>
      </c>
      <c r="L396" s="3">
        <f>Work[[#This Row],[Unit Price]]*Work[[#This Row],[Quantity]]</f>
        <v>7410</v>
      </c>
      <c r="M396" s="3">
        <f>Work[[#This Row],[Revenue]]*Work[[#This Row],[cost percentage]]</f>
        <v>5187</v>
      </c>
      <c r="N396" s="3">
        <f>Work[[#This Row],[Revenue]]-Work[[#This Row],[Cost]]</f>
        <v>2223</v>
      </c>
      <c r="O396">
        <v>10</v>
      </c>
      <c r="P396" s="6">
        <f>Work[[#This Row],[Delivered Date]]-Work[[#This Row],[Order Date]]</f>
        <v>3</v>
      </c>
      <c r="Q396" t="s">
        <v>28</v>
      </c>
      <c r="R396" t="s">
        <v>547</v>
      </c>
      <c r="S396" t="s">
        <v>46</v>
      </c>
    </row>
    <row r="397" spans="1:19" x14ac:dyDescent="0.35">
      <c r="A397">
        <v>506</v>
      </c>
      <c r="B397" t="s">
        <v>71</v>
      </c>
      <c r="C397" t="s">
        <v>21</v>
      </c>
      <c r="D397" t="s">
        <v>54</v>
      </c>
      <c r="E397" s="9">
        <v>45915</v>
      </c>
      <c r="F397" s="9">
        <v>45918</v>
      </c>
      <c r="G397" s="4" t="str">
        <f>TEXT(Work[[#This Row],[Delivered Date]],"mmm")</f>
        <v>Sept</v>
      </c>
      <c r="H397" s="16">
        <f>MONTH(Work[[#This Row],[Delivered Date]])</f>
        <v>9</v>
      </c>
      <c r="I397" s="1" t="str">
        <f>TEXT(Work[[#This Row],[Delivered Date]],"ddd")</f>
        <v>Thu</v>
      </c>
      <c r="J397" s="4">
        <f>_xlfn.XLOOKUP(Work[[#This Row],[Product Name]],Cost[Product Name],Cost[Cost Percentage],"NA")</f>
        <v>0.7</v>
      </c>
      <c r="K397" s="3">
        <v>656</v>
      </c>
      <c r="L397" s="3">
        <f>Work[[#This Row],[Unit Price]]*Work[[#This Row],[Quantity]]</f>
        <v>5248</v>
      </c>
      <c r="M397" s="3">
        <f>Work[[#This Row],[Revenue]]*Work[[#This Row],[cost percentage]]</f>
        <v>3673.6</v>
      </c>
      <c r="N397" s="3">
        <f>Work[[#This Row],[Revenue]]-Work[[#This Row],[Cost]]</f>
        <v>1574.4</v>
      </c>
      <c r="O397">
        <v>8</v>
      </c>
      <c r="P397" s="6">
        <f>Work[[#This Row],[Delivered Date]]-Work[[#This Row],[Order Date]]</f>
        <v>3</v>
      </c>
      <c r="Q397" t="s">
        <v>14</v>
      </c>
      <c r="R397" t="s">
        <v>551</v>
      </c>
      <c r="S397" t="s">
        <v>46</v>
      </c>
    </row>
    <row r="398" spans="1:19" x14ac:dyDescent="0.35">
      <c r="A398">
        <v>524</v>
      </c>
      <c r="B398" t="s">
        <v>92</v>
      </c>
      <c r="C398" t="s">
        <v>17</v>
      </c>
      <c r="D398" t="s">
        <v>56</v>
      </c>
      <c r="E398" s="9">
        <v>45905</v>
      </c>
      <c r="F398" s="9">
        <v>45915</v>
      </c>
      <c r="G398" s="4" t="str">
        <f>TEXT(Work[[#This Row],[Delivered Date]],"mmm")</f>
        <v>Sept</v>
      </c>
      <c r="H398" s="16">
        <f>MONTH(Work[[#This Row],[Delivered Date]])</f>
        <v>9</v>
      </c>
      <c r="I398" s="1" t="str">
        <f>TEXT(Work[[#This Row],[Delivered Date]],"ddd")</f>
        <v>Mon</v>
      </c>
      <c r="J398" s="4">
        <f>_xlfn.XLOOKUP(Work[[#This Row],[Product Name]],Cost[Product Name],Cost[Cost Percentage],"NA")</f>
        <v>0.55000000000000004</v>
      </c>
      <c r="K398" s="3">
        <v>914</v>
      </c>
      <c r="L398" s="3">
        <f>Work[[#This Row],[Unit Price]]*Work[[#This Row],[Quantity]]</f>
        <v>5484</v>
      </c>
      <c r="M398" s="3">
        <f>Work[[#This Row],[Revenue]]*Work[[#This Row],[cost percentage]]</f>
        <v>3016.2000000000003</v>
      </c>
      <c r="N398" s="3">
        <f>Work[[#This Row],[Revenue]]-Work[[#This Row],[Cost]]</f>
        <v>2467.7999999999997</v>
      </c>
      <c r="O398">
        <v>6</v>
      </c>
      <c r="P398" s="6">
        <f>Work[[#This Row],[Delivered Date]]-Work[[#This Row],[Order Date]]</f>
        <v>10</v>
      </c>
      <c r="Q398" t="s">
        <v>14</v>
      </c>
      <c r="R398" t="s">
        <v>551</v>
      </c>
      <c r="S398" t="s">
        <v>46</v>
      </c>
    </row>
    <row r="399" spans="1:19" x14ac:dyDescent="0.35">
      <c r="A399">
        <v>529</v>
      </c>
      <c r="B399" t="s">
        <v>98</v>
      </c>
      <c r="C399" t="s">
        <v>17</v>
      </c>
      <c r="D399" t="s">
        <v>56</v>
      </c>
      <c r="E399" s="9">
        <v>45904</v>
      </c>
      <c r="F399" s="9">
        <v>45910</v>
      </c>
      <c r="G399" s="4" t="str">
        <f>TEXT(Work[[#This Row],[Delivered Date]],"mmm")</f>
        <v>Sept</v>
      </c>
      <c r="H399" s="16">
        <f>MONTH(Work[[#This Row],[Delivered Date]])</f>
        <v>9</v>
      </c>
      <c r="I399" s="1" t="str">
        <f>TEXT(Work[[#This Row],[Delivered Date]],"ddd")</f>
        <v>Wed</v>
      </c>
      <c r="J399" s="4">
        <f>_xlfn.XLOOKUP(Work[[#This Row],[Product Name]],Cost[Product Name],Cost[Cost Percentage],"NA")</f>
        <v>0.55000000000000004</v>
      </c>
      <c r="K399" s="3">
        <v>238</v>
      </c>
      <c r="L399" s="3">
        <f>Work[[#This Row],[Unit Price]]*Work[[#This Row],[Quantity]]</f>
        <v>1666</v>
      </c>
      <c r="M399" s="3">
        <f>Work[[#This Row],[Revenue]]*Work[[#This Row],[cost percentage]]</f>
        <v>916.30000000000007</v>
      </c>
      <c r="N399" s="3">
        <f>Work[[#This Row],[Revenue]]-Work[[#This Row],[Cost]]</f>
        <v>749.69999999999993</v>
      </c>
      <c r="O399">
        <v>7</v>
      </c>
      <c r="P399" s="6">
        <f>Work[[#This Row],[Delivered Date]]-Work[[#This Row],[Order Date]]</f>
        <v>6</v>
      </c>
      <c r="Q399" t="s">
        <v>14</v>
      </c>
      <c r="R399" t="s">
        <v>550</v>
      </c>
      <c r="S399" t="s">
        <v>15</v>
      </c>
    </row>
    <row r="400" spans="1:19" x14ac:dyDescent="0.35">
      <c r="A400">
        <v>547</v>
      </c>
      <c r="B400" t="s">
        <v>540</v>
      </c>
      <c r="C400" t="s">
        <v>12</v>
      </c>
      <c r="D400" t="s">
        <v>36</v>
      </c>
      <c r="E400" s="9">
        <v>45919</v>
      </c>
      <c r="F400" s="9">
        <v>45922</v>
      </c>
      <c r="G400" s="4" t="str">
        <f>TEXT(Work[[#This Row],[Delivered Date]],"mmm")</f>
        <v>Sept</v>
      </c>
      <c r="H400" s="16">
        <f>MONTH(Work[[#This Row],[Delivered Date]])</f>
        <v>9</v>
      </c>
      <c r="I400" s="1" t="str">
        <f>TEXT(Work[[#This Row],[Delivered Date]],"ddd")</f>
        <v>Mon</v>
      </c>
      <c r="J400" s="4">
        <f>_xlfn.XLOOKUP(Work[[#This Row],[Product Name]],Cost[Product Name],Cost[Cost Percentage],"NA")</f>
        <v>0.8</v>
      </c>
      <c r="K400" s="3">
        <v>722</v>
      </c>
      <c r="L400" s="3">
        <f>Work[[#This Row],[Unit Price]]*Work[[#This Row],[Quantity]]</f>
        <v>1444</v>
      </c>
      <c r="M400" s="3">
        <f>Work[[#This Row],[Revenue]]*Work[[#This Row],[cost percentage]]</f>
        <v>1155.2</v>
      </c>
      <c r="N400" s="3">
        <f>Work[[#This Row],[Revenue]]-Work[[#This Row],[Cost]]</f>
        <v>288.79999999999995</v>
      </c>
      <c r="O400">
        <v>2</v>
      </c>
      <c r="P400" s="6">
        <f>Work[[#This Row],[Delivered Date]]-Work[[#This Row],[Order Date]]</f>
        <v>3</v>
      </c>
      <c r="Q400" t="s">
        <v>14</v>
      </c>
      <c r="R400" t="s">
        <v>550</v>
      </c>
      <c r="S400" t="s">
        <v>46</v>
      </c>
    </row>
    <row r="401" spans="1:19" x14ac:dyDescent="0.35">
      <c r="A401">
        <v>554</v>
      </c>
      <c r="B401" t="s">
        <v>546</v>
      </c>
      <c r="C401" t="s">
        <v>17</v>
      </c>
      <c r="D401" t="s">
        <v>18</v>
      </c>
      <c r="E401" s="9">
        <v>45897</v>
      </c>
      <c r="F401" s="9">
        <v>45905</v>
      </c>
      <c r="G401" s="4" t="str">
        <f>TEXT(Work[[#This Row],[Delivered Date]],"mmm")</f>
        <v>Sept</v>
      </c>
      <c r="H401" s="16">
        <f>MONTH(Work[[#This Row],[Delivered Date]])</f>
        <v>9</v>
      </c>
      <c r="I401" s="1" t="str">
        <f>TEXT(Work[[#This Row],[Delivered Date]],"ddd")</f>
        <v>Fri</v>
      </c>
      <c r="J401" s="4">
        <f>_xlfn.XLOOKUP(Work[[#This Row],[Product Name]],Cost[Product Name],Cost[Cost Percentage],"NA")</f>
        <v>0.5</v>
      </c>
      <c r="K401" s="3">
        <v>509</v>
      </c>
      <c r="L401" s="3">
        <f>Work[[#This Row],[Unit Price]]*Work[[#This Row],[Quantity]]</f>
        <v>5090</v>
      </c>
      <c r="M401" s="3">
        <f>Work[[#This Row],[Revenue]]*Work[[#This Row],[cost percentage]]</f>
        <v>2545</v>
      </c>
      <c r="N401" s="3">
        <f>Work[[#This Row],[Revenue]]-Work[[#This Row],[Cost]]</f>
        <v>2545</v>
      </c>
      <c r="O401">
        <v>10</v>
      </c>
      <c r="P401" s="6">
        <f>Work[[#This Row],[Delivered Date]]-Work[[#This Row],[Order Date]]</f>
        <v>8</v>
      </c>
      <c r="Q401" t="s">
        <v>28</v>
      </c>
      <c r="R401" t="s">
        <v>547</v>
      </c>
      <c r="S401" t="s">
        <v>15</v>
      </c>
    </row>
    <row r="402" spans="1:19" x14ac:dyDescent="0.35">
      <c r="A402">
        <v>5</v>
      </c>
      <c r="B402" t="s">
        <v>26</v>
      </c>
      <c r="C402" t="s">
        <v>12</v>
      </c>
      <c r="D402" t="s">
        <v>27</v>
      </c>
      <c r="E402" s="9">
        <v>45566</v>
      </c>
      <c r="F402" s="9">
        <v>45582</v>
      </c>
      <c r="G402" s="4" t="str">
        <f>TEXT(Work[[#This Row],[Delivered Date]],"mmm")</f>
        <v>Oct</v>
      </c>
      <c r="H402" s="16">
        <f>MONTH(Work[[#This Row],[Delivered Date]])</f>
        <v>10</v>
      </c>
      <c r="I402" s="1" t="str">
        <f>TEXT(Work[[#This Row],[Delivered Date]],"ddd")</f>
        <v>Thu</v>
      </c>
      <c r="J402" s="4">
        <f>_xlfn.XLOOKUP(Work[[#This Row],[Product Name]],Cost[Product Name],Cost[Cost Percentage],"NA")</f>
        <v>0.65</v>
      </c>
      <c r="K402" s="3">
        <v>954</v>
      </c>
      <c r="L402" s="3">
        <f>Work[[#This Row],[Unit Price]]*Work[[#This Row],[Quantity]]</f>
        <v>1908</v>
      </c>
      <c r="M402" s="3">
        <f>Work[[#This Row],[Revenue]]*Work[[#This Row],[cost percentage]]</f>
        <v>1240.2</v>
      </c>
      <c r="N402" s="3">
        <f>Work[[#This Row],[Revenue]]-Work[[#This Row],[Cost]]</f>
        <v>667.8</v>
      </c>
      <c r="O402">
        <v>2</v>
      </c>
      <c r="P402" s="6">
        <f>Work[[#This Row],[Delivered Date]]-Work[[#This Row],[Order Date]]</f>
        <v>16</v>
      </c>
      <c r="Q402" t="s">
        <v>28</v>
      </c>
      <c r="R402" t="s">
        <v>550</v>
      </c>
      <c r="S402" t="s">
        <v>29</v>
      </c>
    </row>
    <row r="403" spans="1:19" x14ac:dyDescent="0.35">
      <c r="A403">
        <v>20</v>
      </c>
      <c r="B403" t="s">
        <v>57</v>
      </c>
      <c r="C403" t="s">
        <v>12</v>
      </c>
      <c r="D403" t="s">
        <v>58</v>
      </c>
      <c r="E403" s="9">
        <v>45582</v>
      </c>
      <c r="F403" s="9">
        <v>45588</v>
      </c>
      <c r="G403" s="4" t="str">
        <f>TEXT(Work[[#This Row],[Delivered Date]],"mmm")</f>
        <v>Oct</v>
      </c>
      <c r="H403" s="16">
        <f>MONTH(Work[[#This Row],[Delivered Date]])</f>
        <v>10</v>
      </c>
      <c r="I403" s="1" t="str">
        <f>TEXT(Work[[#This Row],[Delivered Date]],"ddd")</f>
        <v>Wed</v>
      </c>
      <c r="J403" s="4">
        <f>_xlfn.XLOOKUP(Work[[#This Row],[Product Name]],Cost[Product Name],Cost[Cost Percentage],"NA")</f>
        <v>0.85</v>
      </c>
      <c r="K403" s="3">
        <v>97</v>
      </c>
      <c r="L403" s="3">
        <f>Work[[#This Row],[Unit Price]]*Work[[#This Row],[Quantity]]</f>
        <v>194</v>
      </c>
      <c r="M403" s="3">
        <f>Work[[#This Row],[Revenue]]*Work[[#This Row],[cost percentage]]</f>
        <v>164.9</v>
      </c>
      <c r="N403" s="3">
        <f>Work[[#This Row],[Revenue]]-Work[[#This Row],[Cost]]</f>
        <v>29.099999999999994</v>
      </c>
      <c r="O403">
        <v>2</v>
      </c>
      <c r="P403" s="6">
        <f>Work[[#This Row],[Delivered Date]]-Work[[#This Row],[Order Date]]</f>
        <v>6</v>
      </c>
      <c r="Q403" t="s">
        <v>14</v>
      </c>
      <c r="R403" t="s">
        <v>33</v>
      </c>
      <c r="S403" t="s">
        <v>46</v>
      </c>
    </row>
    <row r="404" spans="1:19" x14ac:dyDescent="0.35">
      <c r="A404">
        <v>31</v>
      </c>
      <c r="B404" t="s">
        <v>71</v>
      </c>
      <c r="C404" t="s">
        <v>12</v>
      </c>
      <c r="D404" t="s">
        <v>36</v>
      </c>
      <c r="E404" s="9">
        <v>45569</v>
      </c>
      <c r="F404" s="9">
        <v>45572</v>
      </c>
      <c r="G404" s="4" t="str">
        <f>TEXT(Work[[#This Row],[Delivered Date]],"mmm")</f>
        <v>Oct</v>
      </c>
      <c r="H404" s="16">
        <f>MONTH(Work[[#This Row],[Delivered Date]])</f>
        <v>10</v>
      </c>
      <c r="I404" s="1" t="str">
        <f>TEXT(Work[[#This Row],[Delivered Date]],"ddd")</f>
        <v>Mon</v>
      </c>
      <c r="J404" s="4">
        <f>_xlfn.XLOOKUP(Work[[#This Row],[Product Name]],Cost[Product Name],Cost[Cost Percentage],"NA")</f>
        <v>0.8</v>
      </c>
      <c r="K404" s="3">
        <v>775</v>
      </c>
      <c r="L404" s="3">
        <f>Work[[#This Row],[Unit Price]]*Work[[#This Row],[Quantity]]</f>
        <v>775</v>
      </c>
      <c r="M404" s="3">
        <f>Work[[#This Row],[Revenue]]*Work[[#This Row],[cost percentage]]</f>
        <v>620</v>
      </c>
      <c r="N404" s="3">
        <f>Work[[#This Row],[Revenue]]-Work[[#This Row],[Cost]]</f>
        <v>155</v>
      </c>
      <c r="O404">
        <v>1</v>
      </c>
      <c r="P404" s="6">
        <f>Work[[#This Row],[Delivered Date]]-Work[[#This Row],[Order Date]]</f>
        <v>3</v>
      </c>
      <c r="Q404" t="s">
        <v>14</v>
      </c>
      <c r="R404" t="s">
        <v>547</v>
      </c>
      <c r="S404" t="s">
        <v>19</v>
      </c>
    </row>
    <row r="405" spans="1:19" x14ac:dyDescent="0.35">
      <c r="A405">
        <v>34</v>
      </c>
      <c r="B405" t="s">
        <v>74</v>
      </c>
      <c r="C405" t="s">
        <v>24</v>
      </c>
      <c r="D405" t="s">
        <v>70</v>
      </c>
      <c r="E405" s="9">
        <v>45581</v>
      </c>
      <c r="F405" s="9">
        <v>45586</v>
      </c>
      <c r="G405" s="4" t="str">
        <f>TEXT(Work[[#This Row],[Delivered Date]],"mmm")</f>
        <v>Oct</v>
      </c>
      <c r="H405" s="16">
        <f>MONTH(Work[[#This Row],[Delivered Date]])</f>
        <v>10</v>
      </c>
      <c r="I405" s="1" t="str">
        <f>TEXT(Work[[#This Row],[Delivered Date]],"ddd")</f>
        <v>Mon</v>
      </c>
      <c r="J405" s="4">
        <f>_xlfn.XLOOKUP(Work[[#This Row],[Product Name]],Cost[Product Name],Cost[Cost Percentage],"NA")</f>
        <v>0.55000000000000004</v>
      </c>
      <c r="K405" s="3">
        <v>333</v>
      </c>
      <c r="L405" s="3">
        <f>Work[[#This Row],[Unit Price]]*Work[[#This Row],[Quantity]]</f>
        <v>2997</v>
      </c>
      <c r="M405" s="3">
        <f>Work[[#This Row],[Revenue]]*Work[[#This Row],[cost percentage]]</f>
        <v>1648.3500000000001</v>
      </c>
      <c r="N405" s="3">
        <f>Work[[#This Row],[Revenue]]-Work[[#This Row],[Cost]]</f>
        <v>1348.6499999999999</v>
      </c>
      <c r="O405">
        <v>9</v>
      </c>
      <c r="P405" s="6">
        <f>Work[[#This Row],[Delivered Date]]-Work[[#This Row],[Order Date]]</f>
        <v>5</v>
      </c>
      <c r="Q405" t="s">
        <v>28</v>
      </c>
      <c r="R405" t="s">
        <v>547</v>
      </c>
      <c r="S405" t="s">
        <v>46</v>
      </c>
    </row>
    <row r="406" spans="1:19" x14ac:dyDescent="0.35">
      <c r="A406">
        <v>50</v>
      </c>
      <c r="B406" t="s">
        <v>93</v>
      </c>
      <c r="C406" t="s">
        <v>24</v>
      </c>
      <c r="D406" t="s">
        <v>25</v>
      </c>
      <c r="E406" s="9">
        <v>45575</v>
      </c>
      <c r="F406" s="9">
        <v>45578</v>
      </c>
      <c r="G406" s="4" t="str">
        <f>TEXT(Work[[#This Row],[Delivered Date]],"mmm")</f>
        <v>Oct</v>
      </c>
      <c r="H406" s="16">
        <f>MONTH(Work[[#This Row],[Delivered Date]])</f>
        <v>10</v>
      </c>
      <c r="I406" s="1" t="str">
        <f>TEXT(Work[[#This Row],[Delivered Date]],"ddd")</f>
        <v>Sun</v>
      </c>
      <c r="J406" s="4">
        <f>_xlfn.XLOOKUP(Work[[#This Row],[Product Name]],Cost[Product Name],Cost[Cost Percentage],"NA")</f>
        <v>0.55000000000000004</v>
      </c>
      <c r="K406" s="3">
        <v>206</v>
      </c>
      <c r="L406" s="3">
        <f>Work[[#This Row],[Unit Price]]*Work[[#This Row],[Quantity]]</f>
        <v>618</v>
      </c>
      <c r="M406" s="3">
        <f>Work[[#This Row],[Revenue]]*Work[[#This Row],[cost percentage]]</f>
        <v>339.90000000000003</v>
      </c>
      <c r="N406" s="3">
        <f>Work[[#This Row],[Revenue]]-Work[[#This Row],[Cost]]</f>
        <v>278.09999999999997</v>
      </c>
      <c r="O406">
        <v>3</v>
      </c>
      <c r="P406" s="6">
        <f>Work[[#This Row],[Delivered Date]]-Work[[#This Row],[Order Date]]</f>
        <v>3</v>
      </c>
      <c r="Q406" t="s">
        <v>28</v>
      </c>
      <c r="R406" t="s">
        <v>550</v>
      </c>
      <c r="S406" t="s">
        <v>19</v>
      </c>
    </row>
    <row r="407" spans="1:19" x14ac:dyDescent="0.35">
      <c r="A407">
        <v>71</v>
      </c>
      <c r="B407" t="s">
        <v>117</v>
      </c>
      <c r="C407" t="s">
        <v>17</v>
      </c>
      <c r="D407" t="s">
        <v>56</v>
      </c>
      <c r="E407" s="9">
        <v>45576</v>
      </c>
      <c r="F407" s="9">
        <v>45582</v>
      </c>
      <c r="G407" s="4" t="str">
        <f>TEXT(Work[[#This Row],[Delivered Date]],"mmm")</f>
        <v>Oct</v>
      </c>
      <c r="H407" s="16">
        <f>MONTH(Work[[#This Row],[Delivered Date]])</f>
        <v>10</v>
      </c>
      <c r="I407" s="1" t="str">
        <f>TEXT(Work[[#This Row],[Delivered Date]],"ddd")</f>
        <v>Thu</v>
      </c>
      <c r="J407" s="4">
        <f>_xlfn.XLOOKUP(Work[[#This Row],[Product Name]],Cost[Product Name],Cost[Cost Percentage],"NA")</f>
        <v>0.55000000000000004</v>
      </c>
      <c r="K407" s="3">
        <v>539</v>
      </c>
      <c r="L407" s="3">
        <f>Work[[#This Row],[Unit Price]]*Work[[#This Row],[Quantity]]</f>
        <v>539</v>
      </c>
      <c r="M407" s="3">
        <f>Work[[#This Row],[Revenue]]*Work[[#This Row],[cost percentage]]</f>
        <v>296.45000000000005</v>
      </c>
      <c r="N407" s="3">
        <f>Work[[#This Row],[Revenue]]-Work[[#This Row],[Cost]]</f>
        <v>242.54999999999995</v>
      </c>
      <c r="O407">
        <v>1</v>
      </c>
      <c r="P407" s="6">
        <f>Work[[#This Row],[Delivered Date]]-Work[[#This Row],[Order Date]]</f>
        <v>6</v>
      </c>
      <c r="Q407" t="s">
        <v>14</v>
      </c>
      <c r="R407" t="s">
        <v>551</v>
      </c>
      <c r="S407" t="s">
        <v>46</v>
      </c>
    </row>
    <row r="408" spans="1:19" x14ac:dyDescent="0.35">
      <c r="A408">
        <v>94</v>
      </c>
      <c r="B408" t="s">
        <v>140</v>
      </c>
      <c r="C408" t="s">
        <v>21</v>
      </c>
      <c r="D408" t="s">
        <v>22</v>
      </c>
      <c r="E408" s="9">
        <v>45574</v>
      </c>
      <c r="F408" s="9">
        <v>45581</v>
      </c>
      <c r="G408" s="4" t="str">
        <f>TEXT(Work[[#This Row],[Delivered Date]],"mmm")</f>
        <v>Oct</v>
      </c>
      <c r="H408" s="16">
        <f>MONTH(Work[[#This Row],[Delivered Date]])</f>
        <v>10</v>
      </c>
      <c r="I408" s="1" t="str">
        <f>TEXT(Work[[#This Row],[Delivered Date]],"ddd")</f>
        <v>Wed</v>
      </c>
      <c r="J408" s="4">
        <f>_xlfn.XLOOKUP(Work[[#This Row],[Product Name]],Cost[Product Name],Cost[Cost Percentage],"NA")</f>
        <v>0.75</v>
      </c>
      <c r="K408" s="3">
        <v>402</v>
      </c>
      <c r="L408" s="3">
        <f>Work[[#This Row],[Unit Price]]*Work[[#This Row],[Quantity]]</f>
        <v>1206</v>
      </c>
      <c r="M408" s="3">
        <f>Work[[#This Row],[Revenue]]*Work[[#This Row],[cost percentage]]</f>
        <v>904.5</v>
      </c>
      <c r="N408" s="3">
        <f>Work[[#This Row],[Revenue]]-Work[[#This Row],[Cost]]</f>
        <v>301.5</v>
      </c>
      <c r="O408">
        <v>3</v>
      </c>
      <c r="P408" s="6">
        <f>Work[[#This Row],[Delivered Date]]-Work[[#This Row],[Order Date]]</f>
        <v>7</v>
      </c>
      <c r="Q408" t="s">
        <v>28</v>
      </c>
      <c r="R408" t="s">
        <v>551</v>
      </c>
      <c r="S408" t="s">
        <v>46</v>
      </c>
    </row>
    <row r="409" spans="1:19" x14ac:dyDescent="0.35">
      <c r="A409">
        <v>129</v>
      </c>
      <c r="B409" t="s">
        <v>175</v>
      </c>
      <c r="C409" t="s">
        <v>21</v>
      </c>
      <c r="D409" t="s">
        <v>54</v>
      </c>
      <c r="E409" s="9">
        <v>45581</v>
      </c>
      <c r="F409" s="9">
        <v>45584</v>
      </c>
      <c r="G409" s="4" t="str">
        <f>TEXT(Work[[#This Row],[Delivered Date]],"mmm")</f>
        <v>Oct</v>
      </c>
      <c r="H409" s="16">
        <f>MONTH(Work[[#This Row],[Delivered Date]])</f>
        <v>10</v>
      </c>
      <c r="I409" s="1" t="str">
        <f>TEXT(Work[[#This Row],[Delivered Date]],"ddd")</f>
        <v>Sat</v>
      </c>
      <c r="J409" s="4">
        <f>_xlfn.XLOOKUP(Work[[#This Row],[Product Name]],Cost[Product Name],Cost[Cost Percentage],"NA")</f>
        <v>0.7</v>
      </c>
      <c r="K409" s="3">
        <v>81</v>
      </c>
      <c r="L409" s="3">
        <f>Work[[#This Row],[Unit Price]]*Work[[#This Row],[Quantity]]</f>
        <v>567</v>
      </c>
      <c r="M409" s="3">
        <f>Work[[#This Row],[Revenue]]*Work[[#This Row],[cost percentage]]</f>
        <v>396.9</v>
      </c>
      <c r="N409" s="3">
        <f>Work[[#This Row],[Revenue]]-Work[[#This Row],[Cost]]</f>
        <v>170.10000000000002</v>
      </c>
      <c r="O409">
        <v>7</v>
      </c>
      <c r="P409" s="6">
        <f>Work[[#This Row],[Delivered Date]]-Work[[#This Row],[Order Date]]</f>
        <v>3</v>
      </c>
      <c r="Q409" t="s">
        <v>14</v>
      </c>
      <c r="R409" t="s">
        <v>551</v>
      </c>
      <c r="S409" t="s">
        <v>19</v>
      </c>
    </row>
    <row r="410" spans="1:19" x14ac:dyDescent="0.35">
      <c r="A410">
        <v>130</v>
      </c>
      <c r="B410" t="s">
        <v>176</v>
      </c>
      <c r="C410" t="s">
        <v>31</v>
      </c>
      <c r="D410" t="s">
        <v>79</v>
      </c>
      <c r="E410" s="9">
        <v>45582</v>
      </c>
      <c r="F410" s="9">
        <v>45594</v>
      </c>
      <c r="G410" s="4" t="str">
        <f>TEXT(Work[[#This Row],[Delivered Date]],"mmm")</f>
        <v>Oct</v>
      </c>
      <c r="H410" s="16">
        <f>MONTH(Work[[#This Row],[Delivered Date]])</f>
        <v>10</v>
      </c>
      <c r="I410" s="1" t="str">
        <f>TEXT(Work[[#This Row],[Delivered Date]],"ddd")</f>
        <v>Tue</v>
      </c>
      <c r="J410" s="4">
        <f>_xlfn.XLOOKUP(Work[[#This Row],[Product Name]],Cost[Product Name],Cost[Cost Percentage],"NA")</f>
        <v>0.65</v>
      </c>
      <c r="K410" s="3">
        <v>96</v>
      </c>
      <c r="L410" s="3">
        <f>Work[[#This Row],[Unit Price]]*Work[[#This Row],[Quantity]]</f>
        <v>960</v>
      </c>
      <c r="M410" s="3">
        <f>Work[[#This Row],[Revenue]]*Work[[#This Row],[cost percentage]]</f>
        <v>624</v>
      </c>
      <c r="N410" s="3">
        <f>Work[[#This Row],[Revenue]]-Work[[#This Row],[Cost]]</f>
        <v>336</v>
      </c>
      <c r="O410">
        <v>10</v>
      </c>
      <c r="P410" s="6">
        <f>Work[[#This Row],[Delivered Date]]-Work[[#This Row],[Order Date]]</f>
        <v>12</v>
      </c>
      <c r="Q410" t="s">
        <v>14</v>
      </c>
      <c r="R410" t="s">
        <v>551</v>
      </c>
      <c r="S410" t="s">
        <v>29</v>
      </c>
    </row>
    <row r="411" spans="1:19" x14ac:dyDescent="0.35">
      <c r="A411">
        <v>135</v>
      </c>
      <c r="B411" t="s">
        <v>181</v>
      </c>
      <c r="C411" t="s">
        <v>17</v>
      </c>
      <c r="D411" t="s">
        <v>44</v>
      </c>
      <c r="E411" s="9">
        <v>45560</v>
      </c>
      <c r="F411" s="9">
        <v>45572</v>
      </c>
      <c r="G411" s="4" t="str">
        <f>TEXT(Work[[#This Row],[Delivered Date]],"mmm")</f>
        <v>Oct</v>
      </c>
      <c r="H411" s="16">
        <f>MONTH(Work[[#This Row],[Delivered Date]])</f>
        <v>10</v>
      </c>
      <c r="I411" s="1" t="str">
        <f>TEXT(Work[[#This Row],[Delivered Date]],"ddd")</f>
        <v>Mon</v>
      </c>
      <c r="J411" s="4">
        <f>_xlfn.XLOOKUP(Work[[#This Row],[Product Name]],Cost[Product Name],Cost[Cost Percentage],"NA")</f>
        <v>0.6</v>
      </c>
      <c r="K411" s="3">
        <v>415</v>
      </c>
      <c r="L411" s="3">
        <f>Work[[#This Row],[Unit Price]]*Work[[#This Row],[Quantity]]</f>
        <v>830</v>
      </c>
      <c r="M411" s="3">
        <f>Work[[#This Row],[Revenue]]*Work[[#This Row],[cost percentage]]</f>
        <v>498</v>
      </c>
      <c r="N411" s="3">
        <f>Work[[#This Row],[Revenue]]-Work[[#This Row],[Cost]]</f>
        <v>332</v>
      </c>
      <c r="O411">
        <v>2</v>
      </c>
      <c r="P411" s="6">
        <f>Work[[#This Row],[Delivered Date]]-Work[[#This Row],[Order Date]]</f>
        <v>12</v>
      </c>
      <c r="Q411" t="s">
        <v>28</v>
      </c>
      <c r="R411" t="s">
        <v>549</v>
      </c>
      <c r="S411" t="s">
        <v>29</v>
      </c>
    </row>
    <row r="412" spans="1:19" x14ac:dyDescent="0.35">
      <c r="A412">
        <v>166</v>
      </c>
      <c r="B412" t="s">
        <v>212</v>
      </c>
      <c r="C412" t="s">
        <v>24</v>
      </c>
      <c r="D412" t="s">
        <v>25</v>
      </c>
      <c r="E412" s="9">
        <v>45554</v>
      </c>
      <c r="F412" s="9">
        <v>45574</v>
      </c>
      <c r="G412" s="4" t="str">
        <f>TEXT(Work[[#This Row],[Delivered Date]],"mmm")</f>
        <v>Oct</v>
      </c>
      <c r="H412" s="16">
        <f>MONTH(Work[[#This Row],[Delivered Date]])</f>
        <v>10</v>
      </c>
      <c r="I412" s="1" t="str">
        <f>TEXT(Work[[#This Row],[Delivered Date]],"ddd")</f>
        <v>Wed</v>
      </c>
      <c r="J412" s="4">
        <f>_xlfn.XLOOKUP(Work[[#This Row],[Product Name]],Cost[Product Name],Cost[Cost Percentage],"NA")</f>
        <v>0.55000000000000004</v>
      </c>
      <c r="K412" s="3">
        <v>985</v>
      </c>
      <c r="L412" s="3">
        <f>Work[[#This Row],[Unit Price]]*Work[[#This Row],[Quantity]]</f>
        <v>2955</v>
      </c>
      <c r="M412" s="3">
        <f>Work[[#This Row],[Revenue]]*Work[[#This Row],[cost percentage]]</f>
        <v>1625.2500000000002</v>
      </c>
      <c r="N412" s="3">
        <f>Work[[#This Row],[Revenue]]-Work[[#This Row],[Cost]]</f>
        <v>1329.7499999999998</v>
      </c>
      <c r="O412">
        <v>3</v>
      </c>
      <c r="P412" s="6">
        <f>Work[[#This Row],[Delivered Date]]-Work[[#This Row],[Order Date]]</f>
        <v>20</v>
      </c>
      <c r="Q412" t="s">
        <v>28</v>
      </c>
      <c r="R412" t="s">
        <v>551</v>
      </c>
      <c r="S412" t="s">
        <v>29</v>
      </c>
    </row>
    <row r="413" spans="1:19" x14ac:dyDescent="0.35">
      <c r="A413">
        <v>167</v>
      </c>
      <c r="B413" t="s">
        <v>213</v>
      </c>
      <c r="C413" t="s">
        <v>17</v>
      </c>
      <c r="D413" t="s">
        <v>44</v>
      </c>
      <c r="E413" s="9">
        <v>45579</v>
      </c>
      <c r="F413" s="9">
        <v>45592</v>
      </c>
      <c r="G413" s="4" t="str">
        <f>TEXT(Work[[#This Row],[Delivered Date]],"mmm")</f>
        <v>Oct</v>
      </c>
      <c r="H413" s="16">
        <f>MONTH(Work[[#This Row],[Delivered Date]])</f>
        <v>10</v>
      </c>
      <c r="I413" s="1" t="str">
        <f>TEXT(Work[[#This Row],[Delivered Date]],"ddd")</f>
        <v>Sun</v>
      </c>
      <c r="J413" s="4">
        <f>_xlfn.XLOOKUP(Work[[#This Row],[Product Name]],Cost[Product Name],Cost[Cost Percentage],"NA")</f>
        <v>0.6</v>
      </c>
      <c r="K413" s="3">
        <v>278</v>
      </c>
      <c r="L413" s="3">
        <f>Work[[#This Row],[Unit Price]]*Work[[#This Row],[Quantity]]</f>
        <v>556</v>
      </c>
      <c r="M413" s="3">
        <f>Work[[#This Row],[Revenue]]*Work[[#This Row],[cost percentage]]</f>
        <v>333.59999999999997</v>
      </c>
      <c r="N413" s="3">
        <f>Work[[#This Row],[Revenue]]-Work[[#This Row],[Cost]]</f>
        <v>222.40000000000003</v>
      </c>
      <c r="O413">
        <v>2</v>
      </c>
      <c r="P413" s="6">
        <f>Work[[#This Row],[Delivered Date]]-Work[[#This Row],[Order Date]]</f>
        <v>13</v>
      </c>
      <c r="Q413" t="s">
        <v>28</v>
      </c>
      <c r="R413" t="s">
        <v>549</v>
      </c>
      <c r="S413" t="s">
        <v>15</v>
      </c>
    </row>
    <row r="414" spans="1:19" x14ac:dyDescent="0.35">
      <c r="A414">
        <v>181</v>
      </c>
      <c r="B414" t="s">
        <v>227</v>
      </c>
      <c r="C414" t="s">
        <v>17</v>
      </c>
      <c r="D414" t="s">
        <v>44</v>
      </c>
      <c r="E414" s="9">
        <v>45573</v>
      </c>
      <c r="F414" s="9">
        <v>45577</v>
      </c>
      <c r="G414" s="4" t="str">
        <f>TEXT(Work[[#This Row],[Delivered Date]],"mmm")</f>
        <v>Oct</v>
      </c>
      <c r="H414" s="16">
        <f>MONTH(Work[[#This Row],[Delivered Date]])</f>
        <v>10</v>
      </c>
      <c r="I414" s="1" t="str">
        <f>TEXT(Work[[#This Row],[Delivered Date]],"ddd")</f>
        <v>Sat</v>
      </c>
      <c r="J414" s="4">
        <f>_xlfn.XLOOKUP(Work[[#This Row],[Product Name]],Cost[Product Name],Cost[Cost Percentage],"NA")</f>
        <v>0.6</v>
      </c>
      <c r="K414" s="3">
        <v>855</v>
      </c>
      <c r="L414" s="3">
        <f>Work[[#This Row],[Unit Price]]*Work[[#This Row],[Quantity]]</f>
        <v>4275</v>
      </c>
      <c r="M414" s="3">
        <f>Work[[#This Row],[Revenue]]*Work[[#This Row],[cost percentage]]</f>
        <v>2565</v>
      </c>
      <c r="N414" s="3">
        <f>Work[[#This Row],[Revenue]]-Work[[#This Row],[Cost]]</f>
        <v>1710</v>
      </c>
      <c r="O414">
        <v>5</v>
      </c>
      <c r="P414" s="6">
        <f>Work[[#This Row],[Delivered Date]]-Work[[#This Row],[Order Date]]</f>
        <v>4</v>
      </c>
      <c r="Q414" t="s">
        <v>14</v>
      </c>
      <c r="R414" t="s">
        <v>33</v>
      </c>
      <c r="S414" t="s">
        <v>29</v>
      </c>
    </row>
    <row r="415" spans="1:19" x14ac:dyDescent="0.35">
      <c r="A415">
        <v>187</v>
      </c>
      <c r="B415" t="s">
        <v>233</v>
      </c>
      <c r="C415" t="s">
        <v>24</v>
      </c>
      <c r="D415" t="s">
        <v>100</v>
      </c>
      <c r="E415" s="9">
        <v>45560</v>
      </c>
      <c r="F415" s="9">
        <v>45572</v>
      </c>
      <c r="G415" s="4" t="str">
        <f>TEXT(Work[[#This Row],[Delivered Date]],"mmm")</f>
        <v>Oct</v>
      </c>
      <c r="H415" s="16">
        <f>MONTH(Work[[#This Row],[Delivered Date]])</f>
        <v>10</v>
      </c>
      <c r="I415" s="1" t="str">
        <f>TEXT(Work[[#This Row],[Delivered Date]],"ddd")</f>
        <v>Mon</v>
      </c>
      <c r="J415" s="4">
        <f>_xlfn.XLOOKUP(Work[[#This Row],[Product Name]],Cost[Product Name],Cost[Cost Percentage],"NA")</f>
        <v>0.6</v>
      </c>
      <c r="K415" s="3">
        <v>803</v>
      </c>
      <c r="L415" s="3">
        <f>Work[[#This Row],[Unit Price]]*Work[[#This Row],[Quantity]]</f>
        <v>8030</v>
      </c>
      <c r="M415" s="3">
        <f>Work[[#This Row],[Revenue]]*Work[[#This Row],[cost percentage]]</f>
        <v>4818</v>
      </c>
      <c r="N415" s="3">
        <f>Work[[#This Row],[Revenue]]-Work[[#This Row],[Cost]]</f>
        <v>3212</v>
      </c>
      <c r="O415">
        <v>10</v>
      </c>
      <c r="P415" s="6">
        <f>Work[[#This Row],[Delivered Date]]-Work[[#This Row],[Order Date]]</f>
        <v>12</v>
      </c>
      <c r="Q415" t="s">
        <v>14</v>
      </c>
      <c r="R415" t="s">
        <v>549</v>
      </c>
      <c r="S415" t="s">
        <v>46</v>
      </c>
    </row>
    <row r="416" spans="1:19" x14ac:dyDescent="0.35">
      <c r="A416">
        <v>188</v>
      </c>
      <c r="B416" t="s">
        <v>234</v>
      </c>
      <c r="C416" t="s">
        <v>12</v>
      </c>
      <c r="D416" t="s">
        <v>58</v>
      </c>
      <c r="E416" s="9">
        <v>45557</v>
      </c>
      <c r="F416" s="9">
        <v>45572</v>
      </c>
      <c r="G416" s="4" t="str">
        <f>TEXT(Work[[#This Row],[Delivered Date]],"mmm")</f>
        <v>Oct</v>
      </c>
      <c r="H416" s="16">
        <f>MONTH(Work[[#This Row],[Delivered Date]])</f>
        <v>10</v>
      </c>
      <c r="I416" s="1" t="str">
        <f>TEXT(Work[[#This Row],[Delivered Date]],"ddd")</f>
        <v>Mon</v>
      </c>
      <c r="J416" s="4">
        <f>_xlfn.XLOOKUP(Work[[#This Row],[Product Name]],Cost[Product Name],Cost[Cost Percentage],"NA")</f>
        <v>0.85</v>
      </c>
      <c r="K416" s="3">
        <v>584</v>
      </c>
      <c r="L416" s="3">
        <f>Work[[#This Row],[Unit Price]]*Work[[#This Row],[Quantity]]</f>
        <v>2336</v>
      </c>
      <c r="M416" s="3">
        <f>Work[[#This Row],[Revenue]]*Work[[#This Row],[cost percentage]]</f>
        <v>1985.6</v>
      </c>
      <c r="N416" s="3">
        <f>Work[[#This Row],[Revenue]]-Work[[#This Row],[Cost]]</f>
        <v>350.40000000000009</v>
      </c>
      <c r="O416">
        <v>4</v>
      </c>
      <c r="P416" s="6">
        <f>Work[[#This Row],[Delivered Date]]-Work[[#This Row],[Order Date]]</f>
        <v>15</v>
      </c>
      <c r="Q416" t="s">
        <v>28</v>
      </c>
      <c r="R416" t="s">
        <v>547</v>
      </c>
      <c r="S416" t="s">
        <v>15</v>
      </c>
    </row>
    <row r="417" spans="1:19" x14ac:dyDescent="0.35">
      <c r="A417">
        <v>191</v>
      </c>
      <c r="B417" t="s">
        <v>237</v>
      </c>
      <c r="C417" t="s">
        <v>24</v>
      </c>
      <c r="D417" t="s">
        <v>25</v>
      </c>
      <c r="E417" s="9">
        <v>45578</v>
      </c>
      <c r="F417" s="9">
        <v>45586</v>
      </c>
      <c r="G417" s="4" t="str">
        <f>TEXT(Work[[#This Row],[Delivered Date]],"mmm")</f>
        <v>Oct</v>
      </c>
      <c r="H417" s="16">
        <f>MONTH(Work[[#This Row],[Delivered Date]])</f>
        <v>10</v>
      </c>
      <c r="I417" s="1" t="str">
        <f>TEXT(Work[[#This Row],[Delivered Date]],"ddd")</f>
        <v>Mon</v>
      </c>
      <c r="J417" s="4">
        <f>_xlfn.XLOOKUP(Work[[#This Row],[Product Name]],Cost[Product Name],Cost[Cost Percentage],"NA")</f>
        <v>0.55000000000000004</v>
      </c>
      <c r="K417" s="3">
        <v>304</v>
      </c>
      <c r="L417" s="3">
        <f>Work[[#This Row],[Unit Price]]*Work[[#This Row],[Quantity]]</f>
        <v>1520</v>
      </c>
      <c r="M417" s="3">
        <f>Work[[#This Row],[Revenue]]*Work[[#This Row],[cost percentage]]</f>
        <v>836.00000000000011</v>
      </c>
      <c r="N417" s="3">
        <f>Work[[#This Row],[Revenue]]-Work[[#This Row],[Cost]]</f>
        <v>683.99999999999989</v>
      </c>
      <c r="O417">
        <v>5</v>
      </c>
      <c r="P417" s="6">
        <f>Work[[#This Row],[Delivered Date]]-Work[[#This Row],[Order Date]]</f>
        <v>8</v>
      </c>
      <c r="Q417" t="s">
        <v>28</v>
      </c>
      <c r="R417" t="s">
        <v>551</v>
      </c>
      <c r="S417" t="s">
        <v>46</v>
      </c>
    </row>
    <row r="418" spans="1:19" x14ac:dyDescent="0.35">
      <c r="A418">
        <v>197</v>
      </c>
      <c r="B418" t="s">
        <v>243</v>
      </c>
      <c r="C418" t="s">
        <v>17</v>
      </c>
      <c r="D418" t="s">
        <v>64</v>
      </c>
      <c r="E418" s="9">
        <v>45565</v>
      </c>
      <c r="F418" s="9">
        <v>45571</v>
      </c>
      <c r="G418" s="4" t="str">
        <f>TEXT(Work[[#This Row],[Delivered Date]],"mmm")</f>
        <v>Oct</v>
      </c>
      <c r="H418" s="16">
        <f>MONTH(Work[[#This Row],[Delivered Date]])</f>
        <v>10</v>
      </c>
      <c r="I418" s="1" t="str">
        <f>TEXT(Work[[#This Row],[Delivered Date]],"ddd")</f>
        <v>Sun</v>
      </c>
      <c r="J418" s="4">
        <f>_xlfn.XLOOKUP(Work[[#This Row],[Product Name]],Cost[Product Name],Cost[Cost Percentage],"NA")</f>
        <v>0.5</v>
      </c>
      <c r="K418" s="3">
        <v>945</v>
      </c>
      <c r="L418" s="3">
        <f>Work[[#This Row],[Unit Price]]*Work[[#This Row],[Quantity]]</f>
        <v>945</v>
      </c>
      <c r="M418" s="3">
        <f>Work[[#This Row],[Revenue]]*Work[[#This Row],[cost percentage]]</f>
        <v>472.5</v>
      </c>
      <c r="N418" s="3">
        <f>Work[[#This Row],[Revenue]]-Work[[#This Row],[Cost]]</f>
        <v>472.5</v>
      </c>
      <c r="O418">
        <v>1</v>
      </c>
      <c r="P418" s="6">
        <f>Work[[#This Row],[Delivered Date]]-Work[[#This Row],[Order Date]]</f>
        <v>6</v>
      </c>
      <c r="Q418" t="s">
        <v>14</v>
      </c>
      <c r="R418" t="s">
        <v>551</v>
      </c>
      <c r="S418" t="s">
        <v>46</v>
      </c>
    </row>
    <row r="419" spans="1:19" x14ac:dyDescent="0.35">
      <c r="A419">
        <v>206</v>
      </c>
      <c r="B419" t="s">
        <v>252</v>
      </c>
      <c r="C419" t="s">
        <v>17</v>
      </c>
      <c r="D419" t="s">
        <v>44</v>
      </c>
      <c r="E419" s="9">
        <v>45567</v>
      </c>
      <c r="F419" s="9">
        <v>45574</v>
      </c>
      <c r="G419" s="4" t="str">
        <f>TEXT(Work[[#This Row],[Delivered Date]],"mmm")</f>
        <v>Oct</v>
      </c>
      <c r="H419" s="16">
        <f>MONTH(Work[[#This Row],[Delivered Date]])</f>
        <v>10</v>
      </c>
      <c r="I419" s="1" t="str">
        <f>TEXT(Work[[#This Row],[Delivered Date]],"ddd")</f>
        <v>Wed</v>
      </c>
      <c r="J419" s="4">
        <f>_xlfn.XLOOKUP(Work[[#This Row],[Product Name]],Cost[Product Name],Cost[Cost Percentage],"NA")</f>
        <v>0.6</v>
      </c>
      <c r="K419" s="3">
        <v>790</v>
      </c>
      <c r="L419" s="3">
        <f>Work[[#This Row],[Unit Price]]*Work[[#This Row],[Quantity]]</f>
        <v>3160</v>
      </c>
      <c r="M419" s="3">
        <f>Work[[#This Row],[Revenue]]*Work[[#This Row],[cost percentage]]</f>
        <v>1896</v>
      </c>
      <c r="N419" s="3">
        <f>Work[[#This Row],[Revenue]]-Work[[#This Row],[Cost]]</f>
        <v>1264</v>
      </c>
      <c r="O419">
        <v>4</v>
      </c>
      <c r="P419" s="6">
        <f>Work[[#This Row],[Delivered Date]]-Work[[#This Row],[Order Date]]</f>
        <v>7</v>
      </c>
      <c r="Q419" t="s">
        <v>14</v>
      </c>
      <c r="R419" t="s">
        <v>551</v>
      </c>
      <c r="S419" t="s">
        <v>19</v>
      </c>
    </row>
    <row r="420" spans="1:19" x14ac:dyDescent="0.35">
      <c r="A420">
        <v>207</v>
      </c>
      <c r="B420" t="s">
        <v>253</v>
      </c>
      <c r="C420" t="s">
        <v>17</v>
      </c>
      <c r="D420" t="s">
        <v>44</v>
      </c>
      <c r="E420" s="9">
        <v>45562</v>
      </c>
      <c r="F420" s="9">
        <v>45572</v>
      </c>
      <c r="G420" s="4" t="str">
        <f>TEXT(Work[[#This Row],[Delivered Date]],"mmm")</f>
        <v>Oct</v>
      </c>
      <c r="H420" s="16">
        <f>MONTH(Work[[#This Row],[Delivered Date]])</f>
        <v>10</v>
      </c>
      <c r="I420" s="1" t="str">
        <f>TEXT(Work[[#This Row],[Delivered Date]],"ddd")</f>
        <v>Mon</v>
      </c>
      <c r="J420" s="4">
        <f>_xlfn.XLOOKUP(Work[[#This Row],[Product Name]],Cost[Product Name],Cost[Cost Percentage],"NA")</f>
        <v>0.6</v>
      </c>
      <c r="K420" s="3">
        <v>89</v>
      </c>
      <c r="L420" s="3">
        <f>Work[[#This Row],[Unit Price]]*Work[[#This Row],[Quantity]]</f>
        <v>534</v>
      </c>
      <c r="M420" s="3">
        <f>Work[[#This Row],[Revenue]]*Work[[#This Row],[cost percentage]]</f>
        <v>320.39999999999998</v>
      </c>
      <c r="N420" s="3">
        <f>Work[[#This Row],[Revenue]]-Work[[#This Row],[Cost]]</f>
        <v>213.60000000000002</v>
      </c>
      <c r="O420">
        <v>6</v>
      </c>
      <c r="P420" s="6">
        <f>Work[[#This Row],[Delivered Date]]-Work[[#This Row],[Order Date]]</f>
        <v>10</v>
      </c>
      <c r="Q420" t="s">
        <v>14</v>
      </c>
      <c r="R420" t="s">
        <v>33</v>
      </c>
      <c r="S420" t="s">
        <v>19</v>
      </c>
    </row>
    <row r="421" spans="1:19" x14ac:dyDescent="0.35">
      <c r="A421">
        <v>209</v>
      </c>
      <c r="B421" t="s">
        <v>255</v>
      </c>
      <c r="C421" t="s">
        <v>17</v>
      </c>
      <c r="D421" t="s">
        <v>18</v>
      </c>
      <c r="E421" s="9">
        <v>45578</v>
      </c>
      <c r="F421" s="9">
        <v>45590</v>
      </c>
      <c r="G421" s="4" t="str">
        <f>TEXT(Work[[#This Row],[Delivered Date]],"mmm")</f>
        <v>Oct</v>
      </c>
      <c r="H421" s="16">
        <f>MONTH(Work[[#This Row],[Delivered Date]])</f>
        <v>10</v>
      </c>
      <c r="I421" s="1" t="str">
        <f>TEXT(Work[[#This Row],[Delivered Date]],"ddd")</f>
        <v>Fri</v>
      </c>
      <c r="J421" s="4">
        <f>_xlfn.XLOOKUP(Work[[#This Row],[Product Name]],Cost[Product Name],Cost[Cost Percentage],"NA")</f>
        <v>0.5</v>
      </c>
      <c r="K421" s="3">
        <v>698</v>
      </c>
      <c r="L421" s="3">
        <f>Work[[#This Row],[Unit Price]]*Work[[#This Row],[Quantity]]</f>
        <v>5584</v>
      </c>
      <c r="M421" s="3">
        <f>Work[[#This Row],[Revenue]]*Work[[#This Row],[cost percentage]]</f>
        <v>2792</v>
      </c>
      <c r="N421" s="3">
        <f>Work[[#This Row],[Revenue]]-Work[[#This Row],[Cost]]</f>
        <v>2792</v>
      </c>
      <c r="O421">
        <v>8</v>
      </c>
      <c r="P421" s="6">
        <f>Work[[#This Row],[Delivered Date]]-Work[[#This Row],[Order Date]]</f>
        <v>12</v>
      </c>
      <c r="Q421" t="s">
        <v>28</v>
      </c>
      <c r="R421" t="s">
        <v>549</v>
      </c>
      <c r="S421" t="s">
        <v>46</v>
      </c>
    </row>
    <row r="422" spans="1:19" x14ac:dyDescent="0.35">
      <c r="A422">
        <v>218</v>
      </c>
      <c r="B422" t="s">
        <v>264</v>
      </c>
      <c r="C422" t="s">
        <v>21</v>
      </c>
      <c r="D422" t="s">
        <v>22</v>
      </c>
      <c r="E422" s="9">
        <v>45576</v>
      </c>
      <c r="F422" s="9">
        <v>45584</v>
      </c>
      <c r="G422" s="4" t="str">
        <f>TEXT(Work[[#This Row],[Delivered Date]],"mmm")</f>
        <v>Oct</v>
      </c>
      <c r="H422" s="16">
        <f>MONTH(Work[[#This Row],[Delivered Date]])</f>
        <v>10</v>
      </c>
      <c r="I422" s="1" t="str">
        <f>TEXT(Work[[#This Row],[Delivered Date]],"ddd")</f>
        <v>Sat</v>
      </c>
      <c r="J422" s="4">
        <f>_xlfn.XLOOKUP(Work[[#This Row],[Product Name]],Cost[Product Name],Cost[Cost Percentage],"NA")</f>
        <v>0.75</v>
      </c>
      <c r="K422" s="3">
        <v>58</v>
      </c>
      <c r="L422" s="3">
        <f>Work[[#This Row],[Unit Price]]*Work[[#This Row],[Quantity]]</f>
        <v>464</v>
      </c>
      <c r="M422" s="3">
        <f>Work[[#This Row],[Revenue]]*Work[[#This Row],[cost percentage]]</f>
        <v>348</v>
      </c>
      <c r="N422" s="3">
        <f>Work[[#This Row],[Revenue]]-Work[[#This Row],[Cost]]</f>
        <v>116</v>
      </c>
      <c r="O422">
        <v>8</v>
      </c>
      <c r="P422" s="6">
        <f>Work[[#This Row],[Delivered Date]]-Work[[#This Row],[Order Date]]</f>
        <v>8</v>
      </c>
      <c r="Q422" t="s">
        <v>28</v>
      </c>
      <c r="R422" t="s">
        <v>547</v>
      </c>
      <c r="S422" t="s">
        <v>46</v>
      </c>
    </row>
    <row r="423" spans="1:19" x14ac:dyDescent="0.35">
      <c r="A423">
        <v>227</v>
      </c>
      <c r="B423" t="s">
        <v>273</v>
      </c>
      <c r="C423" t="s">
        <v>21</v>
      </c>
      <c r="D423" t="s">
        <v>22</v>
      </c>
      <c r="E423" s="9">
        <v>45573</v>
      </c>
      <c r="F423" s="9">
        <v>45582</v>
      </c>
      <c r="G423" s="4" t="str">
        <f>TEXT(Work[[#This Row],[Delivered Date]],"mmm")</f>
        <v>Oct</v>
      </c>
      <c r="H423" s="16">
        <f>MONTH(Work[[#This Row],[Delivered Date]])</f>
        <v>10</v>
      </c>
      <c r="I423" s="1" t="str">
        <f>TEXT(Work[[#This Row],[Delivered Date]],"ddd")</f>
        <v>Thu</v>
      </c>
      <c r="J423" s="4">
        <f>_xlfn.XLOOKUP(Work[[#This Row],[Product Name]],Cost[Product Name],Cost[Cost Percentage],"NA")</f>
        <v>0.75</v>
      </c>
      <c r="K423" s="3">
        <v>273</v>
      </c>
      <c r="L423" s="3">
        <f>Work[[#This Row],[Unit Price]]*Work[[#This Row],[Quantity]]</f>
        <v>1638</v>
      </c>
      <c r="M423" s="3">
        <f>Work[[#This Row],[Revenue]]*Work[[#This Row],[cost percentage]]</f>
        <v>1228.5</v>
      </c>
      <c r="N423" s="3">
        <f>Work[[#This Row],[Revenue]]-Work[[#This Row],[Cost]]</f>
        <v>409.5</v>
      </c>
      <c r="O423">
        <v>6</v>
      </c>
      <c r="P423" s="6">
        <f>Work[[#This Row],[Delivered Date]]-Work[[#This Row],[Order Date]]</f>
        <v>9</v>
      </c>
      <c r="Q423" t="s">
        <v>28</v>
      </c>
      <c r="R423" t="s">
        <v>549</v>
      </c>
      <c r="S423" t="s">
        <v>46</v>
      </c>
    </row>
    <row r="424" spans="1:19" x14ac:dyDescent="0.35">
      <c r="A424">
        <v>261</v>
      </c>
      <c r="B424" t="s">
        <v>307</v>
      </c>
      <c r="C424" t="s">
        <v>21</v>
      </c>
      <c r="D424" t="s">
        <v>22</v>
      </c>
      <c r="E424" s="9">
        <v>45579</v>
      </c>
      <c r="F424" s="9">
        <v>45593</v>
      </c>
      <c r="G424" s="4" t="str">
        <f>TEXT(Work[[#This Row],[Delivered Date]],"mmm")</f>
        <v>Oct</v>
      </c>
      <c r="H424" s="16">
        <f>MONTH(Work[[#This Row],[Delivered Date]])</f>
        <v>10</v>
      </c>
      <c r="I424" s="1" t="str">
        <f>TEXT(Work[[#This Row],[Delivered Date]],"ddd")</f>
        <v>Mon</v>
      </c>
      <c r="J424" s="4">
        <f>_xlfn.XLOOKUP(Work[[#This Row],[Product Name]],Cost[Product Name],Cost[Cost Percentage],"NA")</f>
        <v>0.75</v>
      </c>
      <c r="K424" s="3">
        <v>678</v>
      </c>
      <c r="L424" s="3">
        <f>Work[[#This Row],[Unit Price]]*Work[[#This Row],[Quantity]]</f>
        <v>6102</v>
      </c>
      <c r="M424" s="3">
        <f>Work[[#This Row],[Revenue]]*Work[[#This Row],[cost percentage]]</f>
        <v>4576.5</v>
      </c>
      <c r="N424" s="3">
        <f>Work[[#This Row],[Revenue]]-Work[[#This Row],[Cost]]</f>
        <v>1525.5</v>
      </c>
      <c r="O424">
        <v>9</v>
      </c>
      <c r="P424" s="6">
        <f>Work[[#This Row],[Delivered Date]]-Work[[#This Row],[Order Date]]</f>
        <v>14</v>
      </c>
      <c r="Q424" t="s">
        <v>28</v>
      </c>
      <c r="R424" t="s">
        <v>550</v>
      </c>
      <c r="S424" t="s">
        <v>46</v>
      </c>
    </row>
    <row r="425" spans="1:19" x14ac:dyDescent="0.35">
      <c r="A425">
        <v>263</v>
      </c>
      <c r="B425" t="s">
        <v>309</v>
      </c>
      <c r="C425" t="s">
        <v>21</v>
      </c>
      <c r="D425" t="s">
        <v>22</v>
      </c>
      <c r="E425" s="9">
        <v>45581</v>
      </c>
      <c r="F425" s="9">
        <v>45594</v>
      </c>
      <c r="G425" s="4" t="str">
        <f>TEXT(Work[[#This Row],[Delivered Date]],"mmm")</f>
        <v>Oct</v>
      </c>
      <c r="H425" s="16">
        <f>MONTH(Work[[#This Row],[Delivered Date]])</f>
        <v>10</v>
      </c>
      <c r="I425" s="1" t="str">
        <f>TEXT(Work[[#This Row],[Delivered Date]],"ddd")</f>
        <v>Tue</v>
      </c>
      <c r="J425" s="4">
        <f>_xlfn.XLOOKUP(Work[[#This Row],[Product Name]],Cost[Product Name],Cost[Cost Percentage],"NA")</f>
        <v>0.75</v>
      </c>
      <c r="K425" s="3">
        <v>572</v>
      </c>
      <c r="L425" s="3">
        <f>Work[[#This Row],[Unit Price]]*Work[[#This Row],[Quantity]]</f>
        <v>4576</v>
      </c>
      <c r="M425" s="3">
        <f>Work[[#This Row],[Revenue]]*Work[[#This Row],[cost percentage]]</f>
        <v>3432</v>
      </c>
      <c r="N425" s="3">
        <f>Work[[#This Row],[Revenue]]-Work[[#This Row],[Cost]]</f>
        <v>1144</v>
      </c>
      <c r="O425">
        <v>8</v>
      </c>
      <c r="P425" s="6">
        <f>Work[[#This Row],[Delivered Date]]-Work[[#This Row],[Order Date]]</f>
        <v>13</v>
      </c>
      <c r="Q425" t="s">
        <v>28</v>
      </c>
      <c r="R425" t="s">
        <v>552</v>
      </c>
      <c r="S425" t="s">
        <v>46</v>
      </c>
    </row>
    <row r="426" spans="1:19" x14ac:dyDescent="0.35">
      <c r="A426">
        <v>264</v>
      </c>
      <c r="B426" t="s">
        <v>310</v>
      </c>
      <c r="C426" t="s">
        <v>12</v>
      </c>
      <c r="D426" t="s">
        <v>96</v>
      </c>
      <c r="E426" s="9">
        <v>45570</v>
      </c>
      <c r="F426" s="9">
        <v>45574</v>
      </c>
      <c r="G426" s="4" t="str">
        <f>TEXT(Work[[#This Row],[Delivered Date]],"mmm")</f>
        <v>Oct</v>
      </c>
      <c r="H426" s="16">
        <f>MONTH(Work[[#This Row],[Delivered Date]])</f>
        <v>10</v>
      </c>
      <c r="I426" s="1" t="str">
        <f>TEXT(Work[[#This Row],[Delivered Date]],"ddd")</f>
        <v>Wed</v>
      </c>
      <c r="J426" s="4">
        <f>_xlfn.XLOOKUP(Work[[#This Row],[Product Name]],Cost[Product Name],Cost[Cost Percentage],"NA")</f>
        <v>0.7</v>
      </c>
      <c r="K426" s="3">
        <v>565</v>
      </c>
      <c r="L426" s="3">
        <f>Work[[#This Row],[Unit Price]]*Work[[#This Row],[Quantity]]</f>
        <v>3390</v>
      </c>
      <c r="M426" s="3">
        <f>Work[[#This Row],[Revenue]]*Work[[#This Row],[cost percentage]]</f>
        <v>2373</v>
      </c>
      <c r="N426" s="3">
        <f>Work[[#This Row],[Revenue]]-Work[[#This Row],[Cost]]</f>
        <v>1017</v>
      </c>
      <c r="O426">
        <v>6</v>
      </c>
      <c r="P426" s="6">
        <f>Work[[#This Row],[Delivered Date]]-Work[[#This Row],[Order Date]]</f>
        <v>4</v>
      </c>
      <c r="Q426" t="s">
        <v>28</v>
      </c>
      <c r="R426" t="s">
        <v>549</v>
      </c>
      <c r="S426" t="s">
        <v>46</v>
      </c>
    </row>
    <row r="427" spans="1:19" x14ac:dyDescent="0.35">
      <c r="A427">
        <v>267</v>
      </c>
      <c r="B427" t="s">
        <v>313</v>
      </c>
      <c r="C427" t="s">
        <v>31</v>
      </c>
      <c r="D427" t="s">
        <v>79</v>
      </c>
      <c r="E427" s="9">
        <v>45585</v>
      </c>
      <c r="F427" s="9">
        <v>45596</v>
      </c>
      <c r="G427" s="4" t="str">
        <f>TEXT(Work[[#This Row],[Delivered Date]],"mmm")</f>
        <v>Oct</v>
      </c>
      <c r="H427" s="16">
        <f>MONTH(Work[[#This Row],[Delivered Date]])</f>
        <v>10</v>
      </c>
      <c r="I427" s="1" t="str">
        <f>TEXT(Work[[#This Row],[Delivered Date]],"ddd")</f>
        <v>Thu</v>
      </c>
      <c r="J427" s="4">
        <f>_xlfn.XLOOKUP(Work[[#This Row],[Product Name]],Cost[Product Name],Cost[Cost Percentage],"NA")</f>
        <v>0.65</v>
      </c>
      <c r="K427" s="3">
        <v>985</v>
      </c>
      <c r="L427" s="3">
        <f>Work[[#This Row],[Unit Price]]*Work[[#This Row],[Quantity]]</f>
        <v>4925</v>
      </c>
      <c r="M427" s="3">
        <f>Work[[#This Row],[Revenue]]*Work[[#This Row],[cost percentage]]</f>
        <v>3201.25</v>
      </c>
      <c r="N427" s="3">
        <f>Work[[#This Row],[Revenue]]-Work[[#This Row],[Cost]]</f>
        <v>1723.75</v>
      </c>
      <c r="O427">
        <v>5</v>
      </c>
      <c r="P427" s="6">
        <f>Work[[#This Row],[Delivered Date]]-Work[[#This Row],[Order Date]]</f>
        <v>11</v>
      </c>
      <c r="Q427" t="s">
        <v>28</v>
      </c>
      <c r="R427" t="s">
        <v>549</v>
      </c>
      <c r="S427" t="s">
        <v>46</v>
      </c>
    </row>
    <row r="428" spans="1:19" x14ac:dyDescent="0.35">
      <c r="A428">
        <v>269</v>
      </c>
      <c r="B428" t="s">
        <v>315</v>
      </c>
      <c r="C428" t="s">
        <v>24</v>
      </c>
      <c r="D428" t="s">
        <v>25</v>
      </c>
      <c r="E428" s="9">
        <v>45589</v>
      </c>
      <c r="F428" s="9">
        <v>45595</v>
      </c>
      <c r="G428" s="4" t="str">
        <f>TEXT(Work[[#This Row],[Delivered Date]],"mmm")</f>
        <v>Oct</v>
      </c>
      <c r="H428" s="16">
        <f>MONTH(Work[[#This Row],[Delivered Date]])</f>
        <v>10</v>
      </c>
      <c r="I428" s="1" t="str">
        <f>TEXT(Work[[#This Row],[Delivered Date]],"ddd")</f>
        <v>Wed</v>
      </c>
      <c r="J428" s="4">
        <f>_xlfn.XLOOKUP(Work[[#This Row],[Product Name]],Cost[Product Name],Cost[Cost Percentage],"NA")</f>
        <v>0.55000000000000004</v>
      </c>
      <c r="K428" s="3">
        <v>899</v>
      </c>
      <c r="L428" s="3">
        <f>Work[[#This Row],[Unit Price]]*Work[[#This Row],[Quantity]]</f>
        <v>899</v>
      </c>
      <c r="M428" s="3">
        <f>Work[[#This Row],[Revenue]]*Work[[#This Row],[cost percentage]]</f>
        <v>494.45000000000005</v>
      </c>
      <c r="N428" s="3">
        <f>Work[[#This Row],[Revenue]]-Work[[#This Row],[Cost]]</f>
        <v>404.54999999999995</v>
      </c>
      <c r="O428">
        <v>1</v>
      </c>
      <c r="P428" s="6">
        <f>Work[[#This Row],[Delivered Date]]-Work[[#This Row],[Order Date]]</f>
        <v>6</v>
      </c>
      <c r="Q428" t="s">
        <v>28</v>
      </c>
      <c r="R428" t="s">
        <v>549</v>
      </c>
      <c r="S428" t="s">
        <v>46</v>
      </c>
    </row>
    <row r="429" spans="1:19" x14ac:dyDescent="0.35">
      <c r="A429">
        <v>302</v>
      </c>
      <c r="B429" t="s">
        <v>348</v>
      </c>
      <c r="C429" t="s">
        <v>24</v>
      </c>
      <c r="D429" t="s">
        <v>38</v>
      </c>
      <c r="E429" s="9">
        <v>45576</v>
      </c>
      <c r="F429" s="9">
        <v>45588</v>
      </c>
      <c r="G429" s="4" t="str">
        <f>TEXT(Work[[#This Row],[Delivered Date]],"mmm")</f>
        <v>Oct</v>
      </c>
      <c r="H429" s="16">
        <f>MONTH(Work[[#This Row],[Delivered Date]])</f>
        <v>10</v>
      </c>
      <c r="I429" s="1" t="str">
        <f>TEXT(Work[[#This Row],[Delivered Date]],"ddd")</f>
        <v>Wed</v>
      </c>
      <c r="J429" s="4">
        <f>_xlfn.XLOOKUP(Work[[#This Row],[Product Name]],Cost[Product Name],Cost[Cost Percentage],"NA")</f>
        <v>0.5</v>
      </c>
      <c r="K429" s="3">
        <v>265</v>
      </c>
      <c r="L429" s="3">
        <f>Work[[#This Row],[Unit Price]]*Work[[#This Row],[Quantity]]</f>
        <v>2385</v>
      </c>
      <c r="M429" s="3">
        <f>Work[[#This Row],[Revenue]]*Work[[#This Row],[cost percentage]]</f>
        <v>1192.5</v>
      </c>
      <c r="N429" s="3">
        <f>Work[[#This Row],[Revenue]]-Work[[#This Row],[Cost]]</f>
        <v>1192.5</v>
      </c>
      <c r="O429">
        <v>9</v>
      </c>
      <c r="P429" s="6">
        <f>Work[[#This Row],[Delivered Date]]-Work[[#This Row],[Order Date]]</f>
        <v>12</v>
      </c>
      <c r="Q429" t="s">
        <v>14</v>
      </c>
      <c r="R429" t="s">
        <v>548</v>
      </c>
      <c r="S429" t="s">
        <v>29</v>
      </c>
    </row>
    <row r="430" spans="1:19" x14ac:dyDescent="0.35">
      <c r="A430">
        <v>334</v>
      </c>
      <c r="B430" t="s">
        <v>380</v>
      </c>
      <c r="C430" t="s">
        <v>21</v>
      </c>
      <c r="D430" t="s">
        <v>83</v>
      </c>
      <c r="E430" s="9">
        <v>45945</v>
      </c>
      <c r="F430" s="9">
        <v>45949</v>
      </c>
      <c r="G430" s="4" t="str">
        <f>TEXT(Work[[#This Row],[Delivered Date]],"mmm")</f>
        <v>Oct</v>
      </c>
      <c r="H430" s="16">
        <f>MONTH(Work[[#This Row],[Delivered Date]])</f>
        <v>10</v>
      </c>
      <c r="I430" s="1" t="str">
        <f>TEXT(Work[[#This Row],[Delivered Date]],"ddd")</f>
        <v>Sun</v>
      </c>
      <c r="J430" s="4">
        <f>_xlfn.XLOOKUP(Work[[#This Row],[Product Name]],Cost[Product Name],Cost[Cost Percentage],"NA")</f>
        <v>0.8</v>
      </c>
      <c r="K430" s="3">
        <v>754</v>
      </c>
      <c r="L430" s="3">
        <f>Work[[#This Row],[Unit Price]]*Work[[#This Row],[Quantity]]</f>
        <v>6786</v>
      </c>
      <c r="M430" s="3">
        <f>Work[[#This Row],[Revenue]]*Work[[#This Row],[cost percentage]]</f>
        <v>5428.8</v>
      </c>
      <c r="N430" s="3">
        <f>Work[[#This Row],[Revenue]]-Work[[#This Row],[Cost]]</f>
        <v>1357.1999999999998</v>
      </c>
      <c r="O430">
        <v>9</v>
      </c>
      <c r="P430" s="6">
        <f>Work[[#This Row],[Delivered Date]]-Work[[#This Row],[Order Date]]</f>
        <v>4</v>
      </c>
      <c r="Q430" t="s">
        <v>14</v>
      </c>
      <c r="R430" t="s">
        <v>550</v>
      </c>
      <c r="S430" t="s">
        <v>29</v>
      </c>
    </row>
    <row r="431" spans="1:19" x14ac:dyDescent="0.35">
      <c r="A431">
        <v>344</v>
      </c>
      <c r="B431" t="s">
        <v>390</v>
      </c>
      <c r="C431" t="s">
        <v>24</v>
      </c>
      <c r="D431" t="s">
        <v>70</v>
      </c>
      <c r="E431" s="9">
        <v>45936</v>
      </c>
      <c r="F431" s="9">
        <v>45941</v>
      </c>
      <c r="G431" s="4" t="str">
        <f>TEXT(Work[[#This Row],[Delivered Date]],"mmm")</f>
        <v>Oct</v>
      </c>
      <c r="H431" s="16">
        <f>MONTH(Work[[#This Row],[Delivered Date]])</f>
        <v>10</v>
      </c>
      <c r="I431" s="1" t="str">
        <f>TEXT(Work[[#This Row],[Delivered Date]],"ddd")</f>
        <v>Sat</v>
      </c>
      <c r="J431" s="4">
        <f>_xlfn.XLOOKUP(Work[[#This Row],[Product Name]],Cost[Product Name],Cost[Cost Percentage],"NA")</f>
        <v>0.55000000000000004</v>
      </c>
      <c r="K431" s="3">
        <v>564</v>
      </c>
      <c r="L431" s="3">
        <f>Work[[#This Row],[Unit Price]]*Work[[#This Row],[Quantity]]</f>
        <v>3384</v>
      </c>
      <c r="M431" s="3">
        <f>Work[[#This Row],[Revenue]]*Work[[#This Row],[cost percentage]]</f>
        <v>1861.2</v>
      </c>
      <c r="N431" s="3">
        <f>Work[[#This Row],[Revenue]]-Work[[#This Row],[Cost]]</f>
        <v>1522.8</v>
      </c>
      <c r="O431">
        <v>6</v>
      </c>
      <c r="P431" s="6">
        <f>Work[[#This Row],[Delivered Date]]-Work[[#This Row],[Order Date]]</f>
        <v>5</v>
      </c>
      <c r="Q431" t="s">
        <v>14</v>
      </c>
      <c r="R431" t="s">
        <v>551</v>
      </c>
      <c r="S431" t="s">
        <v>19</v>
      </c>
    </row>
    <row r="432" spans="1:19" x14ac:dyDescent="0.35">
      <c r="A432">
        <v>354</v>
      </c>
      <c r="B432" t="s">
        <v>400</v>
      </c>
      <c r="C432" t="s">
        <v>12</v>
      </c>
      <c r="D432" t="s">
        <v>58</v>
      </c>
      <c r="E432" s="9">
        <v>45947</v>
      </c>
      <c r="F432" s="9">
        <v>45952</v>
      </c>
      <c r="G432" s="4" t="str">
        <f>TEXT(Work[[#This Row],[Delivered Date]],"mmm")</f>
        <v>Oct</v>
      </c>
      <c r="H432" s="16">
        <f>MONTH(Work[[#This Row],[Delivered Date]])</f>
        <v>10</v>
      </c>
      <c r="I432" s="1" t="str">
        <f>TEXT(Work[[#This Row],[Delivered Date]],"ddd")</f>
        <v>Wed</v>
      </c>
      <c r="J432" s="4">
        <f>_xlfn.XLOOKUP(Work[[#This Row],[Product Name]],Cost[Product Name],Cost[Cost Percentage],"NA")</f>
        <v>0.85</v>
      </c>
      <c r="K432" s="3">
        <v>803</v>
      </c>
      <c r="L432" s="3">
        <f>Work[[#This Row],[Unit Price]]*Work[[#This Row],[Quantity]]</f>
        <v>4015</v>
      </c>
      <c r="M432" s="3">
        <f>Work[[#This Row],[Revenue]]*Work[[#This Row],[cost percentage]]</f>
        <v>3412.75</v>
      </c>
      <c r="N432" s="3">
        <f>Work[[#This Row],[Revenue]]-Work[[#This Row],[Cost]]</f>
        <v>602.25</v>
      </c>
      <c r="O432">
        <v>5</v>
      </c>
      <c r="P432" s="6">
        <f>Work[[#This Row],[Delivered Date]]-Work[[#This Row],[Order Date]]</f>
        <v>5</v>
      </c>
      <c r="Q432" t="s">
        <v>14</v>
      </c>
      <c r="R432" t="s">
        <v>33</v>
      </c>
      <c r="S432" t="s">
        <v>19</v>
      </c>
    </row>
    <row r="433" spans="1:19" x14ac:dyDescent="0.35">
      <c r="A433">
        <v>363</v>
      </c>
      <c r="B433" t="s">
        <v>409</v>
      </c>
      <c r="C433" t="s">
        <v>12</v>
      </c>
      <c r="D433" t="s">
        <v>27</v>
      </c>
      <c r="E433" s="9">
        <v>45931</v>
      </c>
      <c r="F433" s="9">
        <v>45936</v>
      </c>
      <c r="G433" s="4" t="str">
        <f>TEXT(Work[[#This Row],[Delivered Date]],"mmm")</f>
        <v>Oct</v>
      </c>
      <c r="H433" s="16">
        <f>MONTH(Work[[#This Row],[Delivered Date]])</f>
        <v>10</v>
      </c>
      <c r="I433" s="1" t="str">
        <f>TEXT(Work[[#This Row],[Delivered Date]],"ddd")</f>
        <v>Mon</v>
      </c>
      <c r="J433" s="4">
        <f>_xlfn.XLOOKUP(Work[[#This Row],[Product Name]],Cost[Product Name],Cost[Cost Percentage],"NA")</f>
        <v>0.65</v>
      </c>
      <c r="K433" s="3">
        <v>731</v>
      </c>
      <c r="L433" s="3">
        <f>Work[[#This Row],[Unit Price]]*Work[[#This Row],[Quantity]]</f>
        <v>5848</v>
      </c>
      <c r="M433" s="3">
        <f>Work[[#This Row],[Revenue]]*Work[[#This Row],[cost percentage]]</f>
        <v>3801.2000000000003</v>
      </c>
      <c r="N433" s="3">
        <f>Work[[#This Row],[Revenue]]-Work[[#This Row],[Cost]]</f>
        <v>2046.7999999999997</v>
      </c>
      <c r="O433">
        <v>8</v>
      </c>
      <c r="P433" s="6">
        <f>Work[[#This Row],[Delivered Date]]-Work[[#This Row],[Order Date]]</f>
        <v>5</v>
      </c>
      <c r="Q433" t="s">
        <v>14</v>
      </c>
      <c r="R433" t="s">
        <v>547</v>
      </c>
      <c r="S433" t="s">
        <v>46</v>
      </c>
    </row>
    <row r="434" spans="1:19" x14ac:dyDescent="0.35">
      <c r="A434">
        <v>371</v>
      </c>
      <c r="B434" t="s">
        <v>417</v>
      </c>
      <c r="C434" t="s">
        <v>24</v>
      </c>
      <c r="D434" t="s">
        <v>25</v>
      </c>
      <c r="E434" s="9">
        <v>45932</v>
      </c>
      <c r="F434" s="9">
        <v>45942</v>
      </c>
      <c r="G434" s="4" t="str">
        <f>TEXT(Work[[#This Row],[Delivered Date]],"mmm")</f>
        <v>Oct</v>
      </c>
      <c r="H434" s="16">
        <f>MONTH(Work[[#This Row],[Delivered Date]])</f>
        <v>10</v>
      </c>
      <c r="I434" s="1" t="str">
        <f>TEXT(Work[[#This Row],[Delivered Date]],"ddd")</f>
        <v>Sun</v>
      </c>
      <c r="J434" s="4">
        <f>_xlfn.XLOOKUP(Work[[#This Row],[Product Name]],Cost[Product Name],Cost[Cost Percentage],"NA")</f>
        <v>0.55000000000000004</v>
      </c>
      <c r="K434" s="3">
        <v>50</v>
      </c>
      <c r="L434" s="3">
        <f>Work[[#This Row],[Unit Price]]*Work[[#This Row],[Quantity]]</f>
        <v>250</v>
      </c>
      <c r="M434" s="3">
        <f>Work[[#This Row],[Revenue]]*Work[[#This Row],[cost percentage]]</f>
        <v>137.5</v>
      </c>
      <c r="N434" s="3">
        <f>Work[[#This Row],[Revenue]]-Work[[#This Row],[Cost]]</f>
        <v>112.5</v>
      </c>
      <c r="O434">
        <v>5</v>
      </c>
      <c r="P434" s="6">
        <f>Work[[#This Row],[Delivered Date]]-Work[[#This Row],[Order Date]]</f>
        <v>10</v>
      </c>
      <c r="Q434" t="s">
        <v>28</v>
      </c>
      <c r="R434" t="s">
        <v>547</v>
      </c>
      <c r="S434" t="s">
        <v>19</v>
      </c>
    </row>
    <row r="435" spans="1:19" x14ac:dyDescent="0.35">
      <c r="A435">
        <v>379</v>
      </c>
      <c r="B435" t="s">
        <v>425</v>
      </c>
      <c r="C435" t="s">
        <v>24</v>
      </c>
      <c r="D435" t="s">
        <v>38</v>
      </c>
      <c r="E435" s="9">
        <v>45952</v>
      </c>
      <c r="F435" s="9">
        <v>45953</v>
      </c>
      <c r="G435" s="4" t="str">
        <f>TEXT(Work[[#This Row],[Delivered Date]],"mmm")</f>
        <v>Oct</v>
      </c>
      <c r="H435" s="16">
        <f>MONTH(Work[[#This Row],[Delivered Date]])</f>
        <v>10</v>
      </c>
      <c r="I435" s="1" t="str">
        <f>TEXT(Work[[#This Row],[Delivered Date]],"ddd")</f>
        <v>Thu</v>
      </c>
      <c r="J435" s="4">
        <f>_xlfn.XLOOKUP(Work[[#This Row],[Product Name]],Cost[Product Name],Cost[Cost Percentage],"NA")</f>
        <v>0.5</v>
      </c>
      <c r="K435" s="3">
        <v>279</v>
      </c>
      <c r="L435" s="3">
        <f>Work[[#This Row],[Unit Price]]*Work[[#This Row],[Quantity]]</f>
        <v>2790</v>
      </c>
      <c r="M435" s="3">
        <f>Work[[#This Row],[Revenue]]*Work[[#This Row],[cost percentage]]</f>
        <v>1395</v>
      </c>
      <c r="N435" s="3">
        <f>Work[[#This Row],[Revenue]]-Work[[#This Row],[Cost]]</f>
        <v>1395</v>
      </c>
      <c r="O435">
        <v>10</v>
      </c>
      <c r="P435" s="6">
        <f>Work[[#This Row],[Delivered Date]]-Work[[#This Row],[Order Date]]</f>
        <v>1</v>
      </c>
      <c r="Q435" t="s">
        <v>14</v>
      </c>
      <c r="R435" t="s">
        <v>549</v>
      </c>
      <c r="S435" t="s">
        <v>46</v>
      </c>
    </row>
    <row r="436" spans="1:19" x14ac:dyDescent="0.35">
      <c r="A436">
        <v>386</v>
      </c>
      <c r="B436" t="s">
        <v>432</v>
      </c>
      <c r="C436" t="s">
        <v>12</v>
      </c>
      <c r="D436" t="s">
        <v>13</v>
      </c>
      <c r="E436" s="9">
        <v>45949</v>
      </c>
      <c r="F436" s="9">
        <v>45953</v>
      </c>
      <c r="G436" s="4" t="str">
        <f>TEXT(Work[[#This Row],[Delivered Date]],"mmm")</f>
        <v>Oct</v>
      </c>
      <c r="H436" s="16">
        <f>MONTH(Work[[#This Row],[Delivered Date]])</f>
        <v>10</v>
      </c>
      <c r="I436" s="1" t="str">
        <f>TEXT(Work[[#This Row],[Delivered Date]],"ddd")</f>
        <v>Thu</v>
      </c>
      <c r="J436" s="4">
        <f>_xlfn.XLOOKUP(Work[[#This Row],[Product Name]],Cost[Product Name],Cost[Cost Percentage],"NA")</f>
        <v>0.75</v>
      </c>
      <c r="K436" s="3">
        <v>982</v>
      </c>
      <c r="L436" s="3">
        <f>Work[[#This Row],[Unit Price]]*Work[[#This Row],[Quantity]]</f>
        <v>2946</v>
      </c>
      <c r="M436" s="3">
        <f>Work[[#This Row],[Revenue]]*Work[[#This Row],[cost percentage]]</f>
        <v>2209.5</v>
      </c>
      <c r="N436" s="3">
        <f>Work[[#This Row],[Revenue]]-Work[[#This Row],[Cost]]</f>
        <v>736.5</v>
      </c>
      <c r="O436">
        <v>3</v>
      </c>
      <c r="P436" s="6">
        <f>Work[[#This Row],[Delivered Date]]-Work[[#This Row],[Order Date]]</f>
        <v>4</v>
      </c>
      <c r="Q436" t="s">
        <v>28</v>
      </c>
      <c r="R436" t="s">
        <v>551</v>
      </c>
      <c r="S436" t="s">
        <v>46</v>
      </c>
    </row>
    <row r="437" spans="1:19" x14ac:dyDescent="0.35">
      <c r="A437">
        <v>393</v>
      </c>
      <c r="B437" t="s">
        <v>439</v>
      </c>
      <c r="C437" t="s">
        <v>12</v>
      </c>
      <c r="D437" t="s">
        <v>27</v>
      </c>
      <c r="E437" s="9">
        <v>45924</v>
      </c>
      <c r="F437" s="9">
        <v>45931</v>
      </c>
      <c r="G437" s="4" t="str">
        <f>TEXT(Work[[#This Row],[Delivered Date]],"mmm")</f>
        <v>Oct</v>
      </c>
      <c r="H437" s="16">
        <f>MONTH(Work[[#This Row],[Delivered Date]])</f>
        <v>10</v>
      </c>
      <c r="I437" s="1" t="str">
        <f>TEXT(Work[[#This Row],[Delivered Date]],"ddd")</f>
        <v>Wed</v>
      </c>
      <c r="J437" s="4">
        <f>_xlfn.XLOOKUP(Work[[#This Row],[Product Name]],Cost[Product Name],Cost[Cost Percentage],"NA")</f>
        <v>0.65</v>
      </c>
      <c r="K437" s="3">
        <v>565</v>
      </c>
      <c r="L437" s="3">
        <f>Work[[#This Row],[Unit Price]]*Work[[#This Row],[Quantity]]</f>
        <v>1695</v>
      </c>
      <c r="M437" s="3">
        <f>Work[[#This Row],[Revenue]]*Work[[#This Row],[cost percentage]]</f>
        <v>1101.75</v>
      </c>
      <c r="N437" s="3">
        <f>Work[[#This Row],[Revenue]]-Work[[#This Row],[Cost]]</f>
        <v>593.25</v>
      </c>
      <c r="O437">
        <v>3</v>
      </c>
      <c r="P437" s="6">
        <f>Work[[#This Row],[Delivered Date]]-Work[[#This Row],[Order Date]]</f>
        <v>7</v>
      </c>
      <c r="Q437" t="s">
        <v>14</v>
      </c>
      <c r="R437" t="s">
        <v>33</v>
      </c>
      <c r="S437" t="s">
        <v>15</v>
      </c>
    </row>
    <row r="438" spans="1:19" x14ac:dyDescent="0.35">
      <c r="A438">
        <v>400</v>
      </c>
      <c r="B438" t="s">
        <v>446</v>
      </c>
      <c r="C438" t="s">
        <v>21</v>
      </c>
      <c r="D438" t="s">
        <v>22</v>
      </c>
      <c r="E438" s="9">
        <v>45939</v>
      </c>
      <c r="F438" s="9">
        <v>45949</v>
      </c>
      <c r="G438" s="4" t="str">
        <f>TEXT(Work[[#This Row],[Delivered Date]],"mmm")</f>
        <v>Oct</v>
      </c>
      <c r="H438" s="16">
        <f>MONTH(Work[[#This Row],[Delivered Date]])</f>
        <v>10</v>
      </c>
      <c r="I438" s="1" t="str">
        <f>TEXT(Work[[#This Row],[Delivered Date]],"ddd")</f>
        <v>Sun</v>
      </c>
      <c r="J438" s="4">
        <f>_xlfn.XLOOKUP(Work[[#This Row],[Product Name]],Cost[Product Name],Cost[Cost Percentage],"NA")</f>
        <v>0.75</v>
      </c>
      <c r="K438" s="3">
        <v>644</v>
      </c>
      <c r="L438" s="3">
        <f>Work[[#This Row],[Unit Price]]*Work[[#This Row],[Quantity]]</f>
        <v>3220</v>
      </c>
      <c r="M438" s="3">
        <f>Work[[#This Row],[Revenue]]*Work[[#This Row],[cost percentage]]</f>
        <v>2415</v>
      </c>
      <c r="N438" s="3">
        <f>Work[[#This Row],[Revenue]]-Work[[#This Row],[Cost]]</f>
        <v>805</v>
      </c>
      <c r="O438">
        <v>5</v>
      </c>
      <c r="P438" s="6">
        <f>Work[[#This Row],[Delivered Date]]-Work[[#This Row],[Order Date]]</f>
        <v>10</v>
      </c>
      <c r="Q438" t="s">
        <v>14</v>
      </c>
      <c r="R438" t="s">
        <v>33</v>
      </c>
      <c r="S438" t="s">
        <v>29</v>
      </c>
    </row>
    <row r="439" spans="1:19" x14ac:dyDescent="0.35">
      <c r="A439">
        <v>411</v>
      </c>
      <c r="B439" t="s">
        <v>457</v>
      </c>
      <c r="C439" t="s">
        <v>31</v>
      </c>
      <c r="D439" t="s">
        <v>76</v>
      </c>
      <c r="E439" s="9">
        <v>45926</v>
      </c>
      <c r="F439" s="9">
        <v>45934</v>
      </c>
      <c r="G439" s="4" t="str">
        <f>TEXT(Work[[#This Row],[Delivered Date]],"mmm")</f>
        <v>Oct</v>
      </c>
      <c r="H439" s="16">
        <f>MONTH(Work[[#This Row],[Delivered Date]])</f>
        <v>10</v>
      </c>
      <c r="I439" s="1" t="str">
        <f>TEXT(Work[[#This Row],[Delivered Date]],"ddd")</f>
        <v>Sat</v>
      </c>
      <c r="J439" s="4">
        <f>_xlfn.XLOOKUP(Work[[#This Row],[Product Name]],Cost[Product Name],Cost[Cost Percentage],"NA")</f>
        <v>0.75</v>
      </c>
      <c r="K439" s="3">
        <v>286</v>
      </c>
      <c r="L439" s="3">
        <f>Work[[#This Row],[Unit Price]]*Work[[#This Row],[Quantity]]</f>
        <v>2574</v>
      </c>
      <c r="M439" s="3">
        <f>Work[[#This Row],[Revenue]]*Work[[#This Row],[cost percentage]]</f>
        <v>1930.5</v>
      </c>
      <c r="N439" s="3">
        <f>Work[[#This Row],[Revenue]]-Work[[#This Row],[Cost]]</f>
        <v>643.5</v>
      </c>
      <c r="O439">
        <v>9</v>
      </c>
      <c r="P439" s="6">
        <f>Work[[#This Row],[Delivered Date]]-Work[[#This Row],[Order Date]]</f>
        <v>8</v>
      </c>
      <c r="Q439" t="s">
        <v>28</v>
      </c>
      <c r="R439" t="s">
        <v>33</v>
      </c>
      <c r="S439" t="s">
        <v>46</v>
      </c>
    </row>
    <row r="440" spans="1:19" x14ac:dyDescent="0.35">
      <c r="A440">
        <v>437</v>
      </c>
      <c r="B440" t="s">
        <v>483</v>
      </c>
      <c r="C440" t="s">
        <v>21</v>
      </c>
      <c r="D440" t="s">
        <v>54</v>
      </c>
      <c r="E440" s="9">
        <v>45928</v>
      </c>
      <c r="F440" s="9">
        <v>45934</v>
      </c>
      <c r="G440" s="4" t="str">
        <f>TEXT(Work[[#This Row],[Delivered Date]],"mmm")</f>
        <v>Oct</v>
      </c>
      <c r="H440" s="16">
        <f>MONTH(Work[[#This Row],[Delivered Date]])</f>
        <v>10</v>
      </c>
      <c r="I440" s="1" t="str">
        <f>TEXT(Work[[#This Row],[Delivered Date]],"ddd")</f>
        <v>Sat</v>
      </c>
      <c r="J440" s="4">
        <f>_xlfn.XLOOKUP(Work[[#This Row],[Product Name]],Cost[Product Name],Cost[Cost Percentage],"NA")</f>
        <v>0.7</v>
      </c>
      <c r="K440" s="3">
        <v>733</v>
      </c>
      <c r="L440" s="3">
        <f>Work[[#This Row],[Unit Price]]*Work[[#This Row],[Quantity]]</f>
        <v>6597</v>
      </c>
      <c r="M440" s="3">
        <f>Work[[#This Row],[Revenue]]*Work[[#This Row],[cost percentage]]</f>
        <v>4617.8999999999996</v>
      </c>
      <c r="N440" s="3">
        <f>Work[[#This Row],[Revenue]]-Work[[#This Row],[Cost]]</f>
        <v>1979.1000000000004</v>
      </c>
      <c r="O440">
        <v>9</v>
      </c>
      <c r="P440" s="6">
        <f>Work[[#This Row],[Delivered Date]]-Work[[#This Row],[Order Date]]</f>
        <v>6</v>
      </c>
      <c r="Q440" t="s">
        <v>28</v>
      </c>
      <c r="R440" t="s">
        <v>550</v>
      </c>
      <c r="S440" t="s">
        <v>29</v>
      </c>
    </row>
    <row r="441" spans="1:19" x14ac:dyDescent="0.35">
      <c r="A441">
        <v>466</v>
      </c>
      <c r="B441" t="s">
        <v>512</v>
      </c>
      <c r="C441" t="s">
        <v>24</v>
      </c>
      <c r="D441" t="s">
        <v>38</v>
      </c>
      <c r="E441" s="9">
        <v>45942</v>
      </c>
      <c r="F441" s="9">
        <v>45945</v>
      </c>
      <c r="G441" s="4" t="str">
        <f>TEXT(Work[[#This Row],[Delivered Date]],"mmm")</f>
        <v>Oct</v>
      </c>
      <c r="H441" s="16">
        <f>MONTH(Work[[#This Row],[Delivered Date]])</f>
        <v>10</v>
      </c>
      <c r="I441" s="1" t="str">
        <f>TEXT(Work[[#This Row],[Delivered Date]],"ddd")</f>
        <v>Wed</v>
      </c>
      <c r="J441" s="4">
        <f>_xlfn.XLOOKUP(Work[[#This Row],[Product Name]],Cost[Product Name],Cost[Cost Percentage],"NA")</f>
        <v>0.5</v>
      </c>
      <c r="K441" s="3">
        <v>960</v>
      </c>
      <c r="L441" s="3">
        <f>Work[[#This Row],[Unit Price]]*Work[[#This Row],[Quantity]]</f>
        <v>2880</v>
      </c>
      <c r="M441" s="3">
        <f>Work[[#This Row],[Revenue]]*Work[[#This Row],[cost percentage]]</f>
        <v>1440</v>
      </c>
      <c r="N441" s="3">
        <f>Work[[#This Row],[Revenue]]-Work[[#This Row],[Cost]]</f>
        <v>1440</v>
      </c>
      <c r="O441">
        <v>3</v>
      </c>
      <c r="P441" s="6">
        <f>Work[[#This Row],[Delivered Date]]-Work[[#This Row],[Order Date]]</f>
        <v>3</v>
      </c>
      <c r="Q441" t="s">
        <v>14</v>
      </c>
      <c r="R441" t="s">
        <v>547</v>
      </c>
      <c r="S441" t="s">
        <v>46</v>
      </c>
    </row>
    <row r="442" spans="1:19" x14ac:dyDescent="0.35">
      <c r="A442">
        <v>476</v>
      </c>
      <c r="B442" t="s">
        <v>522</v>
      </c>
      <c r="C442" t="s">
        <v>31</v>
      </c>
      <c r="D442" t="s">
        <v>42</v>
      </c>
      <c r="E442" s="9">
        <v>45938</v>
      </c>
      <c r="F442" s="9">
        <v>45940</v>
      </c>
      <c r="G442" s="4" t="str">
        <f>TEXT(Work[[#This Row],[Delivered Date]],"mmm")</f>
        <v>Oct</v>
      </c>
      <c r="H442" s="16">
        <f>MONTH(Work[[#This Row],[Delivered Date]])</f>
        <v>10</v>
      </c>
      <c r="I442" s="1" t="str">
        <f>TEXT(Work[[#This Row],[Delivered Date]],"ddd")</f>
        <v>Fri</v>
      </c>
      <c r="J442" s="4">
        <f>_xlfn.XLOOKUP(Work[[#This Row],[Product Name]],Cost[Product Name],Cost[Cost Percentage],"NA")</f>
        <v>0.65</v>
      </c>
      <c r="K442" s="3">
        <v>720</v>
      </c>
      <c r="L442" s="3">
        <f>Work[[#This Row],[Unit Price]]*Work[[#This Row],[Quantity]]</f>
        <v>3600</v>
      </c>
      <c r="M442" s="3">
        <f>Work[[#This Row],[Revenue]]*Work[[#This Row],[cost percentage]]</f>
        <v>2340</v>
      </c>
      <c r="N442" s="3">
        <f>Work[[#This Row],[Revenue]]-Work[[#This Row],[Cost]]</f>
        <v>1260</v>
      </c>
      <c r="O442">
        <v>5</v>
      </c>
      <c r="P442" s="6">
        <f>Work[[#This Row],[Delivered Date]]-Work[[#This Row],[Order Date]]</f>
        <v>2</v>
      </c>
      <c r="Q442" t="s">
        <v>14</v>
      </c>
      <c r="R442" t="s">
        <v>551</v>
      </c>
      <c r="S442" t="s">
        <v>29</v>
      </c>
    </row>
    <row r="443" spans="1:19" x14ac:dyDescent="0.35">
      <c r="A443">
        <v>492</v>
      </c>
      <c r="B443" t="s">
        <v>51</v>
      </c>
      <c r="C443" t="s">
        <v>24</v>
      </c>
      <c r="D443" t="s">
        <v>38</v>
      </c>
      <c r="E443" s="9">
        <v>45948</v>
      </c>
      <c r="F443" s="9">
        <v>45955</v>
      </c>
      <c r="G443" s="4" t="str">
        <f>TEXT(Work[[#This Row],[Delivered Date]],"mmm")</f>
        <v>Oct</v>
      </c>
      <c r="H443" s="16">
        <f>MONTH(Work[[#This Row],[Delivered Date]])</f>
        <v>10</v>
      </c>
      <c r="I443" s="1" t="str">
        <f>TEXT(Work[[#This Row],[Delivered Date]],"ddd")</f>
        <v>Sat</v>
      </c>
      <c r="J443" s="4">
        <f>_xlfn.XLOOKUP(Work[[#This Row],[Product Name]],Cost[Product Name],Cost[Cost Percentage],"NA")</f>
        <v>0.5</v>
      </c>
      <c r="K443" s="3">
        <v>124</v>
      </c>
      <c r="L443" s="3">
        <f>Work[[#This Row],[Unit Price]]*Work[[#This Row],[Quantity]]</f>
        <v>744</v>
      </c>
      <c r="M443" s="3">
        <f>Work[[#This Row],[Revenue]]*Work[[#This Row],[cost percentage]]</f>
        <v>372</v>
      </c>
      <c r="N443" s="3">
        <f>Work[[#This Row],[Revenue]]-Work[[#This Row],[Cost]]</f>
        <v>372</v>
      </c>
      <c r="O443">
        <v>6</v>
      </c>
      <c r="P443" s="6">
        <f>Work[[#This Row],[Delivered Date]]-Work[[#This Row],[Order Date]]</f>
        <v>7</v>
      </c>
      <c r="Q443" t="s">
        <v>28</v>
      </c>
      <c r="R443" t="s">
        <v>551</v>
      </c>
      <c r="S443" t="s">
        <v>46</v>
      </c>
    </row>
    <row r="444" spans="1:19" x14ac:dyDescent="0.35">
      <c r="A444">
        <v>502</v>
      </c>
      <c r="B444" t="s">
        <v>66</v>
      </c>
      <c r="C444" t="s">
        <v>12</v>
      </c>
      <c r="D444" t="s">
        <v>13</v>
      </c>
      <c r="E444" s="9">
        <v>45931</v>
      </c>
      <c r="F444" s="9">
        <v>45933</v>
      </c>
      <c r="G444" s="4" t="str">
        <f>TEXT(Work[[#This Row],[Delivered Date]],"mmm")</f>
        <v>Oct</v>
      </c>
      <c r="H444" s="16">
        <f>MONTH(Work[[#This Row],[Delivered Date]])</f>
        <v>10</v>
      </c>
      <c r="I444" s="1" t="str">
        <f>TEXT(Work[[#This Row],[Delivered Date]],"ddd")</f>
        <v>Fri</v>
      </c>
      <c r="J444" s="4">
        <f>_xlfn.XLOOKUP(Work[[#This Row],[Product Name]],Cost[Product Name],Cost[Cost Percentage],"NA")</f>
        <v>0.75</v>
      </c>
      <c r="K444" s="3">
        <v>149</v>
      </c>
      <c r="L444" s="3">
        <f>Work[[#This Row],[Unit Price]]*Work[[#This Row],[Quantity]]</f>
        <v>1043</v>
      </c>
      <c r="M444" s="3">
        <f>Work[[#This Row],[Revenue]]*Work[[#This Row],[cost percentage]]</f>
        <v>782.25</v>
      </c>
      <c r="N444" s="3">
        <f>Work[[#This Row],[Revenue]]-Work[[#This Row],[Cost]]</f>
        <v>260.75</v>
      </c>
      <c r="O444">
        <v>7</v>
      </c>
      <c r="P444" s="6">
        <f>Work[[#This Row],[Delivered Date]]-Work[[#This Row],[Order Date]]</f>
        <v>2</v>
      </c>
      <c r="Q444" t="s">
        <v>28</v>
      </c>
      <c r="R444" t="s">
        <v>551</v>
      </c>
      <c r="S444" t="s">
        <v>29</v>
      </c>
    </row>
    <row r="445" spans="1:19" x14ac:dyDescent="0.35">
      <c r="A445">
        <v>508</v>
      </c>
      <c r="B445" t="s">
        <v>73</v>
      </c>
      <c r="C445" t="s">
        <v>17</v>
      </c>
      <c r="D445" t="s">
        <v>18</v>
      </c>
      <c r="E445" s="9">
        <v>45936</v>
      </c>
      <c r="F445" s="9">
        <v>45940</v>
      </c>
      <c r="G445" s="4" t="str">
        <f>TEXT(Work[[#This Row],[Delivered Date]],"mmm")</f>
        <v>Oct</v>
      </c>
      <c r="H445" s="16">
        <f>MONTH(Work[[#This Row],[Delivered Date]])</f>
        <v>10</v>
      </c>
      <c r="I445" s="1" t="str">
        <f>TEXT(Work[[#This Row],[Delivered Date]],"ddd")</f>
        <v>Fri</v>
      </c>
      <c r="J445" s="4">
        <f>_xlfn.XLOOKUP(Work[[#This Row],[Product Name]],Cost[Product Name],Cost[Cost Percentage],"NA")</f>
        <v>0.5</v>
      </c>
      <c r="K445" s="3">
        <v>908</v>
      </c>
      <c r="L445" s="3">
        <f>Work[[#This Row],[Unit Price]]*Work[[#This Row],[Quantity]]</f>
        <v>2724</v>
      </c>
      <c r="M445" s="3">
        <f>Work[[#This Row],[Revenue]]*Work[[#This Row],[cost percentage]]</f>
        <v>1362</v>
      </c>
      <c r="N445" s="3">
        <f>Work[[#This Row],[Revenue]]-Work[[#This Row],[Cost]]</f>
        <v>1362</v>
      </c>
      <c r="O445">
        <v>3</v>
      </c>
      <c r="P445" s="6">
        <f>Work[[#This Row],[Delivered Date]]-Work[[#This Row],[Order Date]]</f>
        <v>4</v>
      </c>
      <c r="Q445" t="s">
        <v>28</v>
      </c>
      <c r="R445" t="s">
        <v>547</v>
      </c>
      <c r="S445" t="s">
        <v>15</v>
      </c>
    </row>
    <row r="446" spans="1:19" x14ac:dyDescent="0.35">
      <c r="A446">
        <v>509</v>
      </c>
      <c r="B446" t="s">
        <v>74</v>
      </c>
      <c r="C446" t="s">
        <v>31</v>
      </c>
      <c r="D446" t="s">
        <v>50</v>
      </c>
      <c r="E446" s="9">
        <v>45949</v>
      </c>
      <c r="F446" s="9">
        <v>45961</v>
      </c>
      <c r="G446" s="4" t="str">
        <f>TEXT(Work[[#This Row],[Delivered Date]],"mmm")</f>
        <v>Oct</v>
      </c>
      <c r="H446" s="16">
        <f>MONTH(Work[[#This Row],[Delivered Date]])</f>
        <v>10</v>
      </c>
      <c r="I446" s="1" t="str">
        <f>TEXT(Work[[#This Row],[Delivered Date]],"ddd")</f>
        <v>Fri</v>
      </c>
      <c r="J446" s="4">
        <f>_xlfn.XLOOKUP(Work[[#This Row],[Product Name]],Cost[Product Name],Cost[Cost Percentage],"NA")</f>
        <v>0.7</v>
      </c>
      <c r="K446" s="3">
        <v>50</v>
      </c>
      <c r="L446" s="3">
        <f>Work[[#This Row],[Unit Price]]*Work[[#This Row],[Quantity]]</f>
        <v>350</v>
      </c>
      <c r="M446" s="3">
        <f>Work[[#This Row],[Revenue]]*Work[[#This Row],[cost percentage]]</f>
        <v>244.99999999999997</v>
      </c>
      <c r="N446" s="3">
        <f>Work[[#This Row],[Revenue]]-Work[[#This Row],[Cost]]</f>
        <v>105.00000000000003</v>
      </c>
      <c r="O446">
        <v>7</v>
      </c>
      <c r="P446" s="6">
        <f>Work[[#This Row],[Delivered Date]]-Work[[#This Row],[Order Date]]</f>
        <v>12</v>
      </c>
      <c r="Q446" t="s">
        <v>28</v>
      </c>
      <c r="R446" t="s">
        <v>550</v>
      </c>
      <c r="S446" t="s">
        <v>29</v>
      </c>
    </row>
    <row r="447" spans="1:19" x14ac:dyDescent="0.35">
      <c r="A447">
        <v>525</v>
      </c>
      <c r="B447" t="s">
        <v>93</v>
      </c>
      <c r="C447" t="s">
        <v>12</v>
      </c>
      <c r="D447" t="s">
        <v>58</v>
      </c>
      <c r="E447" s="9">
        <v>45935</v>
      </c>
      <c r="F447" s="9">
        <v>45949</v>
      </c>
      <c r="G447" s="4" t="str">
        <f>TEXT(Work[[#This Row],[Delivered Date]],"mmm")</f>
        <v>Oct</v>
      </c>
      <c r="H447" s="16">
        <f>MONTH(Work[[#This Row],[Delivered Date]])</f>
        <v>10</v>
      </c>
      <c r="I447" s="1" t="str">
        <f>TEXT(Work[[#This Row],[Delivered Date]],"ddd")</f>
        <v>Sun</v>
      </c>
      <c r="J447" s="4">
        <f>_xlfn.XLOOKUP(Work[[#This Row],[Product Name]],Cost[Product Name],Cost[Cost Percentage],"NA")</f>
        <v>0.85</v>
      </c>
      <c r="K447" s="3">
        <v>163</v>
      </c>
      <c r="L447" s="3">
        <f>Work[[#This Row],[Unit Price]]*Work[[#This Row],[Quantity]]</f>
        <v>815</v>
      </c>
      <c r="M447" s="3">
        <f>Work[[#This Row],[Revenue]]*Work[[#This Row],[cost percentage]]</f>
        <v>692.75</v>
      </c>
      <c r="N447" s="3">
        <f>Work[[#This Row],[Revenue]]-Work[[#This Row],[Cost]]</f>
        <v>122.25</v>
      </c>
      <c r="O447">
        <v>5</v>
      </c>
      <c r="P447" s="6">
        <f>Work[[#This Row],[Delivered Date]]-Work[[#This Row],[Order Date]]</f>
        <v>14</v>
      </c>
      <c r="Q447" t="s">
        <v>28</v>
      </c>
      <c r="R447" t="s">
        <v>550</v>
      </c>
      <c r="S447" t="s">
        <v>15</v>
      </c>
    </row>
    <row r="448" spans="1:19" x14ac:dyDescent="0.35">
      <c r="A448">
        <v>534</v>
      </c>
      <c r="B448" t="s">
        <v>104</v>
      </c>
      <c r="C448" t="s">
        <v>31</v>
      </c>
      <c r="D448" t="s">
        <v>32</v>
      </c>
      <c r="E448" s="9">
        <v>45942</v>
      </c>
      <c r="F448" s="9">
        <v>45955</v>
      </c>
      <c r="G448" s="4" t="str">
        <f>TEXT(Work[[#This Row],[Delivered Date]],"mmm")</f>
        <v>Oct</v>
      </c>
      <c r="H448" s="16">
        <f>MONTH(Work[[#This Row],[Delivered Date]])</f>
        <v>10</v>
      </c>
      <c r="I448" s="1" t="str">
        <f>TEXT(Work[[#This Row],[Delivered Date]],"ddd")</f>
        <v>Sat</v>
      </c>
      <c r="J448" s="4">
        <f>_xlfn.XLOOKUP(Work[[#This Row],[Product Name]],Cost[Product Name],Cost[Cost Percentage],"NA")</f>
        <v>0.75</v>
      </c>
      <c r="K448" s="3">
        <v>758</v>
      </c>
      <c r="L448" s="3">
        <f>Work[[#This Row],[Unit Price]]*Work[[#This Row],[Quantity]]</f>
        <v>3790</v>
      </c>
      <c r="M448" s="3">
        <f>Work[[#This Row],[Revenue]]*Work[[#This Row],[cost percentage]]</f>
        <v>2842.5</v>
      </c>
      <c r="N448" s="3">
        <f>Work[[#This Row],[Revenue]]-Work[[#This Row],[Cost]]</f>
        <v>947.5</v>
      </c>
      <c r="O448">
        <v>5</v>
      </c>
      <c r="P448" s="6">
        <f>Work[[#This Row],[Delivered Date]]-Work[[#This Row],[Order Date]]</f>
        <v>13</v>
      </c>
      <c r="Q448" t="s">
        <v>28</v>
      </c>
      <c r="R448" t="s">
        <v>551</v>
      </c>
      <c r="S448" t="s">
        <v>19</v>
      </c>
    </row>
    <row r="449" spans="1:19" x14ac:dyDescent="0.35">
      <c r="A449">
        <v>551</v>
      </c>
      <c r="B449" t="s">
        <v>543</v>
      </c>
      <c r="C449" t="s">
        <v>31</v>
      </c>
      <c r="D449" t="s">
        <v>76</v>
      </c>
      <c r="E449" s="9">
        <v>45934</v>
      </c>
      <c r="F449" s="9">
        <v>45940</v>
      </c>
      <c r="G449" s="4" t="str">
        <f>TEXT(Work[[#This Row],[Delivered Date]],"mmm")</f>
        <v>Oct</v>
      </c>
      <c r="H449" s="16">
        <f>MONTH(Work[[#This Row],[Delivered Date]])</f>
        <v>10</v>
      </c>
      <c r="I449" s="1" t="str">
        <f>TEXT(Work[[#This Row],[Delivered Date]],"ddd")</f>
        <v>Fri</v>
      </c>
      <c r="J449" s="4">
        <f>_xlfn.XLOOKUP(Work[[#This Row],[Product Name]],Cost[Product Name],Cost[Cost Percentage],"NA")</f>
        <v>0.75</v>
      </c>
      <c r="K449" s="3">
        <v>953</v>
      </c>
      <c r="L449" s="3">
        <f>Work[[#This Row],[Unit Price]]*Work[[#This Row],[Quantity]]</f>
        <v>4765</v>
      </c>
      <c r="M449" s="3">
        <f>Work[[#This Row],[Revenue]]*Work[[#This Row],[cost percentage]]</f>
        <v>3573.75</v>
      </c>
      <c r="N449" s="3">
        <f>Work[[#This Row],[Revenue]]-Work[[#This Row],[Cost]]</f>
        <v>1191.25</v>
      </c>
      <c r="O449">
        <v>5</v>
      </c>
      <c r="P449" s="6">
        <f>Work[[#This Row],[Delivered Date]]-Work[[#This Row],[Order Date]]</f>
        <v>6</v>
      </c>
      <c r="Q449" t="s">
        <v>14</v>
      </c>
      <c r="R449" t="s">
        <v>549</v>
      </c>
      <c r="S449" t="s">
        <v>29</v>
      </c>
    </row>
    <row r="450" spans="1:19" x14ac:dyDescent="0.35">
      <c r="A450">
        <v>2</v>
      </c>
      <c r="B450" t="s">
        <v>16</v>
      </c>
      <c r="C450" t="s">
        <v>17</v>
      </c>
      <c r="D450" t="s">
        <v>18</v>
      </c>
      <c r="E450" s="9">
        <v>45594</v>
      </c>
      <c r="F450" s="9">
        <v>45600</v>
      </c>
      <c r="G450" s="4" t="str">
        <f>TEXT(Work[[#This Row],[Delivered Date]],"mmm")</f>
        <v>Nov</v>
      </c>
      <c r="H450" s="16">
        <f>MONTH(Work[[#This Row],[Delivered Date]])</f>
        <v>11</v>
      </c>
      <c r="I450" s="1" t="str">
        <f>TEXT(Work[[#This Row],[Delivered Date]],"ddd")</f>
        <v>Mon</v>
      </c>
      <c r="J450" s="4">
        <f>_xlfn.XLOOKUP(Work[[#This Row],[Product Name]],Cost[Product Name],Cost[Cost Percentage],"NA")</f>
        <v>0.5</v>
      </c>
      <c r="K450" s="3">
        <v>42</v>
      </c>
      <c r="L450" s="3">
        <f>Work[[#This Row],[Unit Price]]*Work[[#This Row],[Quantity]]</f>
        <v>294</v>
      </c>
      <c r="M450" s="3">
        <f>Work[[#This Row],[Revenue]]*Work[[#This Row],[cost percentage]]</f>
        <v>147</v>
      </c>
      <c r="N450" s="3">
        <f>Work[[#This Row],[Revenue]]-Work[[#This Row],[Cost]]</f>
        <v>147</v>
      </c>
      <c r="O450">
        <v>7</v>
      </c>
      <c r="P450" s="6">
        <f>Work[[#This Row],[Delivered Date]]-Work[[#This Row],[Order Date]]</f>
        <v>6</v>
      </c>
      <c r="Q450" t="s">
        <v>14</v>
      </c>
      <c r="R450" t="s">
        <v>551</v>
      </c>
      <c r="S450" t="s">
        <v>19</v>
      </c>
    </row>
    <row r="451" spans="1:19" x14ac:dyDescent="0.35">
      <c r="A451">
        <v>3</v>
      </c>
      <c r="B451" t="s">
        <v>20</v>
      </c>
      <c r="C451" t="s">
        <v>21</v>
      </c>
      <c r="D451" t="s">
        <v>22</v>
      </c>
      <c r="E451" s="9">
        <v>45593</v>
      </c>
      <c r="F451" s="9">
        <v>45603</v>
      </c>
      <c r="G451" s="4" t="str">
        <f>TEXT(Work[[#This Row],[Delivered Date]],"mmm")</f>
        <v>Nov</v>
      </c>
      <c r="H451" s="16">
        <f>MONTH(Work[[#This Row],[Delivered Date]])</f>
        <v>11</v>
      </c>
      <c r="I451" s="1" t="str">
        <f>TEXT(Work[[#This Row],[Delivered Date]],"ddd")</f>
        <v>Thu</v>
      </c>
      <c r="J451" s="4">
        <f>_xlfn.XLOOKUP(Work[[#This Row],[Product Name]],Cost[Product Name],Cost[Cost Percentage],"NA")</f>
        <v>0.75</v>
      </c>
      <c r="K451" s="3">
        <v>838</v>
      </c>
      <c r="L451" s="3">
        <f>Work[[#This Row],[Unit Price]]*Work[[#This Row],[Quantity]]</f>
        <v>4190</v>
      </c>
      <c r="M451" s="3">
        <f>Work[[#This Row],[Revenue]]*Work[[#This Row],[cost percentage]]</f>
        <v>3142.5</v>
      </c>
      <c r="N451" s="3">
        <f>Work[[#This Row],[Revenue]]-Work[[#This Row],[Cost]]</f>
        <v>1047.5</v>
      </c>
      <c r="O451">
        <v>5</v>
      </c>
      <c r="P451" s="6">
        <f>Work[[#This Row],[Delivered Date]]-Work[[#This Row],[Order Date]]</f>
        <v>10</v>
      </c>
      <c r="Q451" t="s">
        <v>14</v>
      </c>
      <c r="R451" t="s">
        <v>549</v>
      </c>
      <c r="S451" t="s">
        <v>19</v>
      </c>
    </row>
    <row r="452" spans="1:19" x14ac:dyDescent="0.35">
      <c r="A452">
        <v>66</v>
      </c>
      <c r="B452" t="s">
        <v>111</v>
      </c>
      <c r="C452" t="s">
        <v>31</v>
      </c>
      <c r="D452" t="s">
        <v>76</v>
      </c>
      <c r="E452" s="9">
        <v>45588</v>
      </c>
      <c r="F452" s="9">
        <v>45600</v>
      </c>
      <c r="G452" s="4" t="str">
        <f>TEXT(Work[[#This Row],[Delivered Date]],"mmm")</f>
        <v>Nov</v>
      </c>
      <c r="H452" s="16">
        <f>MONTH(Work[[#This Row],[Delivered Date]])</f>
        <v>11</v>
      </c>
      <c r="I452" s="1" t="str">
        <f>TEXT(Work[[#This Row],[Delivered Date]],"ddd")</f>
        <v>Mon</v>
      </c>
      <c r="J452" s="4">
        <f>_xlfn.XLOOKUP(Work[[#This Row],[Product Name]],Cost[Product Name],Cost[Cost Percentage],"NA")</f>
        <v>0.75</v>
      </c>
      <c r="K452" s="3">
        <v>961</v>
      </c>
      <c r="L452" s="3">
        <f>Work[[#This Row],[Unit Price]]*Work[[#This Row],[Quantity]]</f>
        <v>961</v>
      </c>
      <c r="M452" s="3">
        <f>Work[[#This Row],[Revenue]]*Work[[#This Row],[cost percentage]]</f>
        <v>720.75</v>
      </c>
      <c r="N452" s="3">
        <f>Work[[#This Row],[Revenue]]-Work[[#This Row],[Cost]]</f>
        <v>240.25</v>
      </c>
      <c r="O452">
        <v>1</v>
      </c>
      <c r="P452" s="6">
        <f>Work[[#This Row],[Delivered Date]]-Work[[#This Row],[Order Date]]</f>
        <v>12</v>
      </c>
      <c r="Q452" t="s">
        <v>28</v>
      </c>
      <c r="R452" t="s">
        <v>547</v>
      </c>
      <c r="S452" t="s">
        <v>15</v>
      </c>
    </row>
    <row r="453" spans="1:19" x14ac:dyDescent="0.35">
      <c r="A453">
        <v>79</v>
      </c>
      <c r="B453" t="s">
        <v>125</v>
      </c>
      <c r="C453" t="s">
        <v>24</v>
      </c>
      <c r="D453" t="s">
        <v>25</v>
      </c>
      <c r="E453" s="9">
        <v>45593</v>
      </c>
      <c r="F453" s="9">
        <v>45600</v>
      </c>
      <c r="G453" s="4" t="str">
        <f>TEXT(Work[[#This Row],[Delivered Date]],"mmm")</f>
        <v>Nov</v>
      </c>
      <c r="H453" s="16">
        <f>MONTH(Work[[#This Row],[Delivered Date]])</f>
        <v>11</v>
      </c>
      <c r="I453" s="1" t="str">
        <f>TEXT(Work[[#This Row],[Delivered Date]],"ddd")</f>
        <v>Mon</v>
      </c>
      <c r="J453" s="4">
        <f>_xlfn.XLOOKUP(Work[[#This Row],[Product Name]],Cost[Product Name],Cost[Cost Percentage],"NA")</f>
        <v>0.55000000000000004</v>
      </c>
      <c r="K453" s="3">
        <v>322</v>
      </c>
      <c r="L453" s="3">
        <f>Work[[#This Row],[Unit Price]]*Work[[#This Row],[Quantity]]</f>
        <v>2254</v>
      </c>
      <c r="M453" s="3">
        <f>Work[[#This Row],[Revenue]]*Work[[#This Row],[cost percentage]]</f>
        <v>1239.7</v>
      </c>
      <c r="N453" s="3">
        <f>Work[[#This Row],[Revenue]]-Work[[#This Row],[Cost]]</f>
        <v>1014.3</v>
      </c>
      <c r="O453">
        <v>7</v>
      </c>
      <c r="P453" s="6">
        <f>Work[[#This Row],[Delivered Date]]-Work[[#This Row],[Order Date]]</f>
        <v>7</v>
      </c>
      <c r="Q453" t="s">
        <v>14</v>
      </c>
      <c r="R453" t="s">
        <v>33</v>
      </c>
      <c r="S453" t="s">
        <v>29</v>
      </c>
    </row>
    <row r="454" spans="1:19" x14ac:dyDescent="0.35">
      <c r="A454">
        <v>91</v>
      </c>
      <c r="B454" t="s">
        <v>137</v>
      </c>
      <c r="C454" t="s">
        <v>17</v>
      </c>
      <c r="D454" t="s">
        <v>56</v>
      </c>
      <c r="E454" s="9">
        <v>45610</v>
      </c>
      <c r="F454" s="9">
        <v>45614</v>
      </c>
      <c r="G454" s="4" t="str">
        <f>TEXT(Work[[#This Row],[Delivered Date]],"mmm")</f>
        <v>Nov</v>
      </c>
      <c r="H454" s="16">
        <f>MONTH(Work[[#This Row],[Delivered Date]])</f>
        <v>11</v>
      </c>
      <c r="I454" s="1" t="str">
        <f>TEXT(Work[[#This Row],[Delivered Date]],"ddd")</f>
        <v>Mon</v>
      </c>
      <c r="J454" s="4">
        <f>_xlfn.XLOOKUP(Work[[#This Row],[Product Name]],Cost[Product Name],Cost[Cost Percentage],"NA")</f>
        <v>0.55000000000000004</v>
      </c>
      <c r="K454" s="3">
        <v>650</v>
      </c>
      <c r="L454" s="3">
        <f>Work[[#This Row],[Unit Price]]*Work[[#This Row],[Quantity]]</f>
        <v>5200</v>
      </c>
      <c r="M454" s="3">
        <f>Work[[#This Row],[Revenue]]*Work[[#This Row],[cost percentage]]</f>
        <v>2860.0000000000005</v>
      </c>
      <c r="N454" s="3">
        <f>Work[[#This Row],[Revenue]]-Work[[#This Row],[Cost]]</f>
        <v>2339.9999999999995</v>
      </c>
      <c r="O454">
        <v>8</v>
      </c>
      <c r="P454" s="6">
        <f>Work[[#This Row],[Delivered Date]]-Work[[#This Row],[Order Date]]</f>
        <v>4</v>
      </c>
      <c r="Q454" t="s">
        <v>14</v>
      </c>
      <c r="R454" t="s">
        <v>550</v>
      </c>
      <c r="S454" t="s">
        <v>29</v>
      </c>
    </row>
    <row r="455" spans="1:19" x14ac:dyDescent="0.35">
      <c r="A455">
        <v>103</v>
      </c>
      <c r="B455" t="s">
        <v>149</v>
      </c>
      <c r="C455" t="s">
        <v>21</v>
      </c>
      <c r="D455" t="s">
        <v>40</v>
      </c>
      <c r="E455" s="9">
        <v>45613</v>
      </c>
      <c r="F455" s="9">
        <v>45619</v>
      </c>
      <c r="G455" s="4" t="str">
        <f>TEXT(Work[[#This Row],[Delivered Date]],"mmm")</f>
        <v>Nov</v>
      </c>
      <c r="H455" s="16">
        <f>MONTH(Work[[#This Row],[Delivered Date]])</f>
        <v>11</v>
      </c>
      <c r="I455" s="1" t="str">
        <f>TEXT(Work[[#This Row],[Delivered Date]],"ddd")</f>
        <v>Sat</v>
      </c>
      <c r="J455" s="4">
        <f>_xlfn.XLOOKUP(Work[[#This Row],[Product Name]],Cost[Product Name],Cost[Cost Percentage],"NA")</f>
        <v>0.65</v>
      </c>
      <c r="K455" s="3">
        <v>326</v>
      </c>
      <c r="L455" s="3">
        <f>Work[[#This Row],[Unit Price]]*Work[[#This Row],[Quantity]]</f>
        <v>326</v>
      </c>
      <c r="M455" s="3">
        <f>Work[[#This Row],[Revenue]]*Work[[#This Row],[cost percentage]]</f>
        <v>211.9</v>
      </c>
      <c r="N455" s="3">
        <f>Work[[#This Row],[Revenue]]-Work[[#This Row],[Cost]]</f>
        <v>114.1</v>
      </c>
      <c r="O455">
        <v>1</v>
      </c>
      <c r="P455" s="6">
        <f>Work[[#This Row],[Delivered Date]]-Work[[#This Row],[Order Date]]</f>
        <v>6</v>
      </c>
      <c r="Q455" t="s">
        <v>14</v>
      </c>
      <c r="R455" t="s">
        <v>549</v>
      </c>
      <c r="S455" t="s">
        <v>46</v>
      </c>
    </row>
    <row r="456" spans="1:19" x14ac:dyDescent="0.35">
      <c r="A456">
        <v>114</v>
      </c>
      <c r="B456" t="s">
        <v>160</v>
      </c>
      <c r="C456" t="s">
        <v>31</v>
      </c>
      <c r="D456" t="s">
        <v>42</v>
      </c>
      <c r="E456" s="9">
        <v>45597</v>
      </c>
      <c r="F456" s="9">
        <v>45605</v>
      </c>
      <c r="G456" s="4" t="str">
        <f>TEXT(Work[[#This Row],[Delivered Date]],"mmm")</f>
        <v>Nov</v>
      </c>
      <c r="H456" s="16">
        <f>MONTH(Work[[#This Row],[Delivered Date]])</f>
        <v>11</v>
      </c>
      <c r="I456" s="1" t="str">
        <f>TEXT(Work[[#This Row],[Delivered Date]],"ddd")</f>
        <v>Sat</v>
      </c>
      <c r="J456" s="4">
        <f>_xlfn.XLOOKUP(Work[[#This Row],[Product Name]],Cost[Product Name],Cost[Cost Percentage],"NA")</f>
        <v>0.65</v>
      </c>
      <c r="K456" s="3">
        <v>293</v>
      </c>
      <c r="L456" s="3">
        <f>Work[[#This Row],[Unit Price]]*Work[[#This Row],[Quantity]]</f>
        <v>293</v>
      </c>
      <c r="M456" s="3">
        <f>Work[[#This Row],[Revenue]]*Work[[#This Row],[cost percentage]]</f>
        <v>190.45000000000002</v>
      </c>
      <c r="N456" s="3">
        <f>Work[[#This Row],[Revenue]]-Work[[#This Row],[Cost]]</f>
        <v>102.54999999999998</v>
      </c>
      <c r="O456">
        <v>1</v>
      </c>
      <c r="P456" s="6">
        <f>Work[[#This Row],[Delivered Date]]-Work[[#This Row],[Order Date]]</f>
        <v>8</v>
      </c>
      <c r="Q456" t="s">
        <v>14</v>
      </c>
      <c r="R456" t="s">
        <v>549</v>
      </c>
      <c r="S456" t="s">
        <v>29</v>
      </c>
    </row>
    <row r="457" spans="1:19" x14ac:dyDescent="0.35">
      <c r="A457">
        <v>119</v>
      </c>
      <c r="B457" t="s">
        <v>165</v>
      </c>
      <c r="C457" t="s">
        <v>12</v>
      </c>
      <c r="D457" t="s">
        <v>96</v>
      </c>
      <c r="E457" s="9">
        <v>45603</v>
      </c>
      <c r="F457" s="9">
        <v>45608</v>
      </c>
      <c r="G457" s="4" t="str">
        <f>TEXT(Work[[#This Row],[Delivered Date]],"mmm")</f>
        <v>Nov</v>
      </c>
      <c r="H457" s="16">
        <f>MONTH(Work[[#This Row],[Delivered Date]])</f>
        <v>11</v>
      </c>
      <c r="I457" s="1" t="str">
        <f>TEXT(Work[[#This Row],[Delivered Date]],"ddd")</f>
        <v>Tue</v>
      </c>
      <c r="J457" s="4">
        <f>_xlfn.XLOOKUP(Work[[#This Row],[Product Name]],Cost[Product Name],Cost[Cost Percentage],"NA")</f>
        <v>0.7</v>
      </c>
      <c r="K457" s="3">
        <v>77</v>
      </c>
      <c r="L457" s="3">
        <f>Work[[#This Row],[Unit Price]]*Work[[#This Row],[Quantity]]</f>
        <v>231</v>
      </c>
      <c r="M457" s="3">
        <f>Work[[#This Row],[Revenue]]*Work[[#This Row],[cost percentage]]</f>
        <v>161.69999999999999</v>
      </c>
      <c r="N457" s="3">
        <f>Work[[#This Row],[Revenue]]-Work[[#This Row],[Cost]]</f>
        <v>69.300000000000011</v>
      </c>
      <c r="O457">
        <v>3</v>
      </c>
      <c r="P457" s="6">
        <f>Work[[#This Row],[Delivered Date]]-Work[[#This Row],[Order Date]]</f>
        <v>5</v>
      </c>
      <c r="Q457" t="s">
        <v>28</v>
      </c>
      <c r="R457" t="s">
        <v>551</v>
      </c>
      <c r="S457" t="s">
        <v>29</v>
      </c>
    </row>
    <row r="458" spans="1:19" x14ac:dyDescent="0.35">
      <c r="A458">
        <v>120</v>
      </c>
      <c r="B458" t="s">
        <v>166</v>
      </c>
      <c r="C458" t="s">
        <v>24</v>
      </c>
      <c r="D458" t="s">
        <v>70</v>
      </c>
      <c r="E458" s="9">
        <v>45601</v>
      </c>
      <c r="F458" s="9">
        <v>45605</v>
      </c>
      <c r="G458" s="4" t="str">
        <f>TEXT(Work[[#This Row],[Delivered Date]],"mmm")</f>
        <v>Nov</v>
      </c>
      <c r="H458" s="16">
        <f>MONTH(Work[[#This Row],[Delivered Date]])</f>
        <v>11</v>
      </c>
      <c r="I458" s="1" t="str">
        <f>TEXT(Work[[#This Row],[Delivered Date]],"ddd")</f>
        <v>Sat</v>
      </c>
      <c r="J458" s="4">
        <f>_xlfn.XLOOKUP(Work[[#This Row],[Product Name]],Cost[Product Name],Cost[Cost Percentage],"NA")</f>
        <v>0.55000000000000004</v>
      </c>
      <c r="K458" s="3">
        <v>111</v>
      </c>
      <c r="L458" s="3">
        <f>Work[[#This Row],[Unit Price]]*Work[[#This Row],[Quantity]]</f>
        <v>777</v>
      </c>
      <c r="M458" s="3">
        <f>Work[[#This Row],[Revenue]]*Work[[#This Row],[cost percentage]]</f>
        <v>427.35</v>
      </c>
      <c r="N458" s="3">
        <f>Work[[#This Row],[Revenue]]-Work[[#This Row],[Cost]]</f>
        <v>349.65</v>
      </c>
      <c r="O458">
        <v>7</v>
      </c>
      <c r="P458" s="6">
        <f>Work[[#This Row],[Delivered Date]]-Work[[#This Row],[Order Date]]</f>
        <v>4</v>
      </c>
      <c r="Q458" t="s">
        <v>28</v>
      </c>
      <c r="R458" t="s">
        <v>549</v>
      </c>
      <c r="S458" t="s">
        <v>46</v>
      </c>
    </row>
    <row r="459" spans="1:19" x14ac:dyDescent="0.35">
      <c r="A459">
        <v>125</v>
      </c>
      <c r="B459" t="s">
        <v>171</v>
      </c>
      <c r="C459" t="s">
        <v>12</v>
      </c>
      <c r="D459" t="s">
        <v>96</v>
      </c>
      <c r="E459" s="9">
        <v>45599</v>
      </c>
      <c r="F459" s="9">
        <v>45620</v>
      </c>
      <c r="G459" s="4" t="str">
        <f>TEXT(Work[[#This Row],[Delivered Date]],"mmm")</f>
        <v>Nov</v>
      </c>
      <c r="H459" s="16">
        <f>MONTH(Work[[#This Row],[Delivered Date]])</f>
        <v>11</v>
      </c>
      <c r="I459" s="1" t="str">
        <f>TEXT(Work[[#This Row],[Delivered Date]],"ddd")</f>
        <v>Sun</v>
      </c>
      <c r="J459" s="4">
        <f>_xlfn.XLOOKUP(Work[[#This Row],[Product Name]],Cost[Product Name],Cost[Cost Percentage],"NA")</f>
        <v>0.7</v>
      </c>
      <c r="K459" s="3">
        <v>370</v>
      </c>
      <c r="L459" s="3">
        <f>Work[[#This Row],[Unit Price]]*Work[[#This Row],[Quantity]]</f>
        <v>1850</v>
      </c>
      <c r="M459" s="3">
        <f>Work[[#This Row],[Revenue]]*Work[[#This Row],[cost percentage]]</f>
        <v>1295</v>
      </c>
      <c r="N459" s="3">
        <f>Work[[#This Row],[Revenue]]-Work[[#This Row],[Cost]]</f>
        <v>555</v>
      </c>
      <c r="O459">
        <v>5</v>
      </c>
      <c r="P459" s="6">
        <f>Work[[#This Row],[Delivered Date]]-Work[[#This Row],[Order Date]]</f>
        <v>21</v>
      </c>
      <c r="Q459" t="s">
        <v>28</v>
      </c>
      <c r="R459" t="s">
        <v>551</v>
      </c>
      <c r="S459" t="s">
        <v>15</v>
      </c>
    </row>
    <row r="460" spans="1:19" x14ac:dyDescent="0.35">
      <c r="A460">
        <v>139</v>
      </c>
      <c r="B460" t="s">
        <v>185</v>
      </c>
      <c r="C460" t="s">
        <v>12</v>
      </c>
      <c r="D460" t="s">
        <v>58</v>
      </c>
      <c r="E460" s="9">
        <v>45613</v>
      </c>
      <c r="F460" s="9">
        <v>45623</v>
      </c>
      <c r="G460" s="4" t="str">
        <f>TEXT(Work[[#This Row],[Delivered Date]],"mmm")</f>
        <v>Nov</v>
      </c>
      <c r="H460" s="16">
        <f>MONTH(Work[[#This Row],[Delivered Date]])</f>
        <v>11</v>
      </c>
      <c r="I460" s="1" t="str">
        <f>TEXT(Work[[#This Row],[Delivered Date]],"ddd")</f>
        <v>Wed</v>
      </c>
      <c r="J460" s="4">
        <f>_xlfn.XLOOKUP(Work[[#This Row],[Product Name]],Cost[Product Name],Cost[Cost Percentage],"NA")</f>
        <v>0.85</v>
      </c>
      <c r="K460" s="3">
        <v>485</v>
      </c>
      <c r="L460" s="3">
        <f>Work[[#This Row],[Unit Price]]*Work[[#This Row],[Quantity]]</f>
        <v>3880</v>
      </c>
      <c r="M460" s="3">
        <f>Work[[#This Row],[Revenue]]*Work[[#This Row],[cost percentage]]</f>
        <v>3298</v>
      </c>
      <c r="N460" s="3">
        <f>Work[[#This Row],[Revenue]]-Work[[#This Row],[Cost]]</f>
        <v>582</v>
      </c>
      <c r="O460">
        <v>8</v>
      </c>
      <c r="P460" s="6">
        <f>Work[[#This Row],[Delivered Date]]-Work[[#This Row],[Order Date]]</f>
        <v>10</v>
      </c>
      <c r="Q460" t="s">
        <v>28</v>
      </c>
      <c r="R460" t="s">
        <v>549</v>
      </c>
      <c r="S460" t="s">
        <v>46</v>
      </c>
    </row>
    <row r="461" spans="1:19" x14ac:dyDescent="0.35">
      <c r="A461">
        <v>140</v>
      </c>
      <c r="B461" t="s">
        <v>186</v>
      </c>
      <c r="C461" t="s">
        <v>24</v>
      </c>
      <c r="D461" t="s">
        <v>70</v>
      </c>
      <c r="E461" s="9">
        <v>45621</v>
      </c>
      <c r="F461" s="9">
        <v>45624</v>
      </c>
      <c r="G461" s="4" t="str">
        <f>TEXT(Work[[#This Row],[Delivered Date]],"mmm")</f>
        <v>Nov</v>
      </c>
      <c r="H461" s="16">
        <f>MONTH(Work[[#This Row],[Delivered Date]])</f>
        <v>11</v>
      </c>
      <c r="I461" s="1" t="str">
        <f>TEXT(Work[[#This Row],[Delivered Date]],"ddd")</f>
        <v>Thu</v>
      </c>
      <c r="J461" s="4">
        <f>_xlfn.XLOOKUP(Work[[#This Row],[Product Name]],Cost[Product Name],Cost[Cost Percentage],"NA")</f>
        <v>0.55000000000000004</v>
      </c>
      <c r="K461" s="3">
        <v>340</v>
      </c>
      <c r="L461" s="3">
        <f>Work[[#This Row],[Unit Price]]*Work[[#This Row],[Quantity]]</f>
        <v>3400</v>
      </c>
      <c r="M461" s="3">
        <f>Work[[#This Row],[Revenue]]*Work[[#This Row],[cost percentage]]</f>
        <v>1870.0000000000002</v>
      </c>
      <c r="N461" s="3">
        <f>Work[[#This Row],[Revenue]]-Work[[#This Row],[Cost]]</f>
        <v>1529.9999999999998</v>
      </c>
      <c r="O461">
        <v>10</v>
      </c>
      <c r="P461" s="6">
        <f>Work[[#This Row],[Delivered Date]]-Work[[#This Row],[Order Date]]</f>
        <v>3</v>
      </c>
      <c r="Q461" t="s">
        <v>14</v>
      </c>
      <c r="R461" t="s">
        <v>549</v>
      </c>
      <c r="S461" t="s">
        <v>29</v>
      </c>
    </row>
    <row r="462" spans="1:19" x14ac:dyDescent="0.35">
      <c r="A462">
        <v>160</v>
      </c>
      <c r="B462" t="s">
        <v>206</v>
      </c>
      <c r="C462" t="s">
        <v>21</v>
      </c>
      <c r="D462" t="s">
        <v>40</v>
      </c>
      <c r="E462" s="9">
        <v>45589</v>
      </c>
      <c r="F462" s="9">
        <v>45608</v>
      </c>
      <c r="G462" s="4" t="str">
        <f>TEXT(Work[[#This Row],[Delivered Date]],"mmm")</f>
        <v>Nov</v>
      </c>
      <c r="H462" s="16">
        <f>MONTH(Work[[#This Row],[Delivered Date]])</f>
        <v>11</v>
      </c>
      <c r="I462" s="1" t="str">
        <f>TEXT(Work[[#This Row],[Delivered Date]],"ddd")</f>
        <v>Tue</v>
      </c>
      <c r="J462" s="4">
        <f>_xlfn.XLOOKUP(Work[[#This Row],[Product Name]],Cost[Product Name],Cost[Cost Percentage],"NA")</f>
        <v>0.65</v>
      </c>
      <c r="K462" s="3">
        <v>146</v>
      </c>
      <c r="L462" s="3">
        <f>Work[[#This Row],[Unit Price]]*Work[[#This Row],[Quantity]]</f>
        <v>876</v>
      </c>
      <c r="M462" s="3">
        <f>Work[[#This Row],[Revenue]]*Work[[#This Row],[cost percentage]]</f>
        <v>569.4</v>
      </c>
      <c r="N462" s="3">
        <f>Work[[#This Row],[Revenue]]-Work[[#This Row],[Cost]]</f>
        <v>306.60000000000002</v>
      </c>
      <c r="O462">
        <v>6</v>
      </c>
      <c r="P462" s="6">
        <f>Work[[#This Row],[Delivered Date]]-Work[[#This Row],[Order Date]]</f>
        <v>19</v>
      </c>
      <c r="Q462" t="s">
        <v>28</v>
      </c>
      <c r="R462" t="s">
        <v>551</v>
      </c>
      <c r="S462" t="s">
        <v>19</v>
      </c>
    </row>
    <row r="463" spans="1:19" x14ac:dyDescent="0.35">
      <c r="A463">
        <v>165</v>
      </c>
      <c r="B463" t="s">
        <v>211</v>
      </c>
      <c r="C463" t="s">
        <v>12</v>
      </c>
      <c r="D463" t="s">
        <v>96</v>
      </c>
      <c r="E463" s="9">
        <v>45606</v>
      </c>
      <c r="F463" s="9">
        <v>45620</v>
      </c>
      <c r="G463" s="4" t="str">
        <f>TEXT(Work[[#This Row],[Delivered Date]],"mmm")</f>
        <v>Nov</v>
      </c>
      <c r="H463" s="16">
        <f>MONTH(Work[[#This Row],[Delivered Date]])</f>
        <v>11</v>
      </c>
      <c r="I463" s="1" t="str">
        <f>TEXT(Work[[#This Row],[Delivered Date]],"ddd")</f>
        <v>Sun</v>
      </c>
      <c r="J463" s="4">
        <f>_xlfn.XLOOKUP(Work[[#This Row],[Product Name]],Cost[Product Name],Cost[Cost Percentage],"NA")</f>
        <v>0.7</v>
      </c>
      <c r="K463" s="3">
        <v>291</v>
      </c>
      <c r="L463" s="3">
        <f>Work[[#This Row],[Unit Price]]*Work[[#This Row],[Quantity]]</f>
        <v>2037</v>
      </c>
      <c r="M463" s="3">
        <f>Work[[#This Row],[Revenue]]*Work[[#This Row],[cost percentage]]</f>
        <v>1425.8999999999999</v>
      </c>
      <c r="N463" s="3">
        <f>Work[[#This Row],[Revenue]]-Work[[#This Row],[Cost]]</f>
        <v>611.10000000000014</v>
      </c>
      <c r="O463">
        <v>7</v>
      </c>
      <c r="P463" s="6">
        <f>Work[[#This Row],[Delivered Date]]-Work[[#This Row],[Order Date]]</f>
        <v>14</v>
      </c>
      <c r="Q463" t="s">
        <v>14</v>
      </c>
      <c r="R463" t="s">
        <v>33</v>
      </c>
      <c r="S463" t="s">
        <v>19</v>
      </c>
    </row>
    <row r="464" spans="1:19" x14ac:dyDescent="0.35">
      <c r="A464">
        <v>168</v>
      </c>
      <c r="B464" t="s">
        <v>214</v>
      </c>
      <c r="C464" t="s">
        <v>24</v>
      </c>
      <c r="D464" t="s">
        <v>100</v>
      </c>
      <c r="E464" s="9">
        <v>45605</v>
      </c>
      <c r="F464" s="9">
        <v>45612</v>
      </c>
      <c r="G464" s="4" t="str">
        <f>TEXT(Work[[#This Row],[Delivered Date]],"mmm")</f>
        <v>Nov</v>
      </c>
      <c r="H464" s="16">
        <f>MONTH(Work[[#This Row],[Delivered Date]])</f>
        <v>11</v>
      </c>
      <c r="I464" s="1" t="str">
        <f>TEXT(Work[[#This Row],[Delivered Date]],"ddd")</f>
        <v>Sat</v>
      </c>
      <c r="J464" s="4">
        <f>_xlfn.XLOOKUP(Work[[#This Row],[Product Name]],Cost[Product Name],Cost[Cost Percentage],"NA")</f>
        <v>0.6</v>
      </c>
      <c r="K464" s="3">
        <v>720</v>
      </c>
      <c r="L464" s="3">
        <f>Work[[#This Row],[Unit Price]]*Work[[#This Row],[Quantity]]</f>
        <v>3600</v>
      </c>
      <c r="M464" s="3">
        <f>Work[[#This Row],[Revenue]]*Work[[#This Row],[cost percentage]]</f>
        <v>2160</v>
      </c>
      <c r="N464" s="3">
        <f>Work[[#This Row],[Revenue]]-Work[[#This Row],[Cost]]</f>
        <v>1440</v>
      </c>
      <c r="O464">
        <v>5</v>
      </c>
      <c r="P464" s="6">
        <f>Work[[#This Row],[Delivered Date]]-Work[[#This Row],[Order Date]]</f>
        <v>7</v>
      </c>
      <c r="Q464" t="s">
        <v>14</v>
      </c>
      <c r="R464" t="s">
        <v>550</v>
      </c>
      <c r="S464" t="s">
        <v>19</v>
      </c>
    </row>
    <row r="465" spans="1:19" x14ac:dyDescent="0.35">
      <c r="A465">
        <v>171</v>
      </c>
      <c r="B465" t="s">
        <v>217</v>
      </c>
      <c r="C465" t="s">
        <v>17</v>
      </c>
      <c r="D465" t="s">
        <v>64</v>
      </c>
      <c r="E465" s="9">
        <v>45605</v>
      </c>
      <c r="F465" s="9">
        <v>45618</v>
      </c>
      <c r="G465" s="4" t="str">
        <f>TEXT(Work[[#This Row],[Delivered Date]],"mmm")</f>
        <v>Nov</v>
      </c>
      <c r="H465" s="16">
        <f>MONTH(Work[[#This Row],[Delivered Date]])</f>
        <v>11</v>
      </c>
      <c r="I465" s="1" t="str">
        <f>TEXT(Work[[#This Row],[Delivered Date]],"ddd")</f>
        <v>Fri</v>
      </c>
      <c r="J465" s="4">
        <f>_xlfn.XLOOKUP(Work[[#This Row],[Product Name]],Cost[Product Name],Cost[Cost Percentage],"NA")</f>
        <v>0.5</v>
      </c>
      <c r="K465" s="3">
        <v>77</v>
      </c>
      <c r="L465" s="3">
        <f>Work[[#This Row],[Unit Price]]*Work[[#This Row],[Quantity]]</f>
        <v>154</v>
      </c>
      <c r="M465" s="3">
        <f>Work[[#This Row],[Revenue]]*Work[[#This Row],[cost percentage]]</f>
        <v>77</v>
      </c>
      <c r="N465" s="3">
        <f>Work[[#This Row],[Revenue]]-Work[[#This Row],[Cost]]</f>
        <v>77</v>
      </c>
      <c r="O465">
        <v>2</v>
      </c>
      <c r="P465" s="6">
        <f>Work[[#This Row],[Delivered Date]]-Work[[#This Row],[Order Date]]</f>
        <v>13</v>
      </c>
      <c r="Q465" t="s">
        <v>28</v>
      </c>
      <c r="R465" t="s">
        <v>547</v>
      </c>
      <c r="S465" t="s">
        <v>19</v>
      </c>
    </row>
    <row r="466" spans="1:19" x14ac:dyDescent="0.35">
      <c r="A466">
        <v>175</v>
      </c>
      <c r="B466" t="s">
        <v>221</v>
      </c>
      <c r="C466" t="s">
        <v>21</v>
      </c>
      <c r="D466" t="s">
        <v>83</v>
      </c>
      <c r="E466" s="9">
        <v>45606</v>
      </c>
      <c r="F466" s="9">
        <v>45614</v>
      </c>
      <c r="G466" s="4" t="str">
        <f>TEXT(Work[[#This Row],[Delivered Date]],"mmm")</f>
        <v>Nov</v>
      </c>
      <c r="H466" s="16">
        <f>MONTH(Work[[#This Row],[Delivered Date]])</f>
        <v>11</v>
      </c>
      <c r="I466" s="1" t="str">
        <f>TEXT(Work[[#This Row],[Delivered Date]],"ddd")</f>
        <v>Mon</v>
      </c>
      <c r="J466" s="4">
        <f>_xlfn.XLOOKUP(Work[[#This Row],[Product Name]],Cost[Product Name],Cost[Cost Percentage],"NA")</f>
        <v>0.8</v>
      </c>
      <c r="K466" s="3">
        <v>105</v>
      </c>
      <c r="L466" s="3">
        <f>Work[[#This Row],[Unit Price]]*Work[[#This Row],[Quantity]]</f>
        <v>945</v>
      </c>
      <c r="M466" s="3">
        <f>Work[[#This Row],[Revenue]]*Work[[#This Row],[cost percentage]]</f>
        <v>756</v>
      </c>
      <c r="N466" s="3">
        <f>Work[[#This Row],[Revenue]]-Work[[#This Row],[Cost]]</f>
        <v>189</v>
      </c>
      <c r="O466">
        <v>9</v>
      </c>
      <c r="P466" s="6">
        <f>Work[[#This Row],[Delivered Date]]-Work[[#This Row],[Order Date]]</f>
        <v>8</v>
      </c>
      <c r="Q466" t="s">
        <v>28</v>
      </c>
      <c r="R466" t="s">
        <v>33</v>
      </c>
      <c r="S466" t="s">
        <v>29</v>
      </c>
    </row>
    <row r="467" spans="1:19" x14ac:dyDescent="0.35">
      <c r="A467">
        <v>182</v>
      </c>
      <c r="B467" t="s">
        <v>228</v>
      </c>
      <c r="C467" t="s">
        <v>21</v>
      </c>
      <c r="D467" t="s">
        <v>54</v>
      </c>
      <c r="E467" s="9">
        <v>45600</v>
      </c>
      <c r="F467" s="9">
        <v>45612</v>
      </c>
      <c r="G467" s="4" t="str">
        <f>TEXT(Work[[#This Row],[Delivered Date]],"mmm")</f>
        <v>Nov</v>
      </c>
      <c r="H467" s="16">
        <f>MONTH(Work[[#This Row],[Delivered Date]])</f>
        <v>11</v>
      </c>
      <c r="I467" s="1" t="str">
        <f>TEXT(Work[[#This Row],[Delivered Date]],"ddd")</f>
        <v>Sat</v>
      </c>
      <c r="J467" s="4">
        <f>_xlfn.XLOOKUP(Work[[#This Row],[Product Name]],Cost[Product Name],Cost[Cost Percentage],"NA")</f>
        <v>0.7</v>
      </c>
      <c r="K467" s="3">
        <v>421</v>
      </c>
      <c r="L467" s="3">
        <f>Work[[#This Row],[Unit Price]]*Work[[#This Row],[Quantity]]</f>
        <v>3789</v>
      </c>
      <c r="M467" s="3">
        <f>Work[[#This Row],[Revenue]]*Work[[#This Row],[cost percentage]]</f>
        <v>2652.2999999999997</v>
      </c>
      <c r="N467" s="3">
        <f>Work[[#This Row],[Revenue]]-Work[[#This Row],[Cost]]</f>
        <v>1136.7000000000003</v>
      </c>
      <c r="O467">
        <v>9</v>
      </c>
      <c r="P467" s="6">
        <f>Work[[#This Row],[Delivered Date]]-Work[[#This Row],[Order Date]]</f>
        <v>12</v>
      </c>
      <c r="Q467" t="s">
        <v>14</v>
      </c>
      <c r="R467" t="s">
        <v>33</v>
      </c>
      <c r="S467" t="s">
        <v>15</v>
      </c>
    </row>
    <row r="468" spans="1:19" x14ac:dyDescent="0.35">
      <c r="A468">
        <v>185</v>
      </c>
      <c r="B468" t="s">
        <v>231</v>
      </c>
      <c r="C468" t="s">
        <v>12</v>
      </c>
      <c r="D468" t="s">
        <v>27</v>
      </c>
      <c r="E468" s="9">
        <v>45590</v>
      </c>
      <c r="F468" s="9">
        <v>45602</v>
      </c>
      <c r="G468" s="4" t="str">
        <f>TEXT(Work[[#This Row],[Delivered Date]],"mmm")</f>
        <v>Nov</v>
      </c>
      <c r="H468" s="16">
        <f>MONTH(Work[[#This Row],[Delivered Date]])</f>
        <v>11</v>
      </c>
      <c r="I468" s="1" t="str">
        <f>TEXT(Work[[#This Row],[Delivered Date]],"ddd")</f>
        <v>Wed</v>
      </c>
      <c r="J468" s="4">
        <f>_xlfn.XLOOKUP(Work[[#This Row],[Product Name]],Cost[Product Name],Cost[Cost Percentage],"NA")</f>
        <v>0.65</v>
      </c>
      <c r="K468" s="3">
        <v>825</v>
      </c>
      <c r="L468" s="3">
        <f>Work[[#This Row],[Unit Price]]*Work[[#This Row],[Quantity]]</f>
        <v>4125</v>
      </c>
      <c r="M468" s="3">
        <f>Work[[#This Row],[Revenue]]*Work[[#This Row],[cost percentage]]</f>
        <v>2681.25</v>
      </c>
      <c r="N468" s="3">
        <f>Work[[#This Row],[Revenue]]-Work[[#This Row],[Cost]]</f>
        <v>1443.75</v>
      </c>
      <c r="O468">
        <v>5</v>
      </c>
      <c r="P468" s="6">
        <f>Work[[#This Row],[Delivered Date]]-Work[[#This Row],[Order Date]]</f>
        <v>12</v>
      </c>
      <c r="Q468" t="s">
        <v>28</v>
      </c>
      <c r="R468" t="s">
        <v>33</v>
      </c>
      <c r="S468" t="s">
        <v>15</v>
      </c>
    </row>
    <row r="469" spans="1:19" x14ac:dyDescent="0.35">
      <c r="A469">
        <v>190</v>
      </c>
      <c r="B469" t="s">
        <v>236</v>
      </c>
      <c r="C469" t="s">
        <v>31</v>
      </c>
      <c r="D469" t="s">
        <v>79</v>
      </c>
      <c r="E469" s="9">
        <v>45604</v>
      </c>
      <c r="F469" s="9">
        <v>45616</v>
      </c>
      <c r="G469" s="4" t="str">
        <f>TEXT(Work[[#This Row],[Delivered Date]],"mmm")</f>
        <v>Nov</v>
      </c>
      <c r="H469" s="16">
        <f>MONTH(Work[[#This Row],[Delivered Date]])</f>
        <v>11</v>
      </c>
      <c r="I469" s="1" t="str">
        <f>TEXT(Work[[#This Row],[Delivered Date]],"ddd")</f>
        <v>Wed</v>
      </c>
      <c r="J469" s="4">
        <f>_xlfn.XLOOKUP(Work[[#This Row],[Product Name]],Cost[Product Name],Cost[Cost Percentage],"NA")</f>
        <v>0.65</v>
      </c>
      <c r="K469" s="3">
        <v>206</v>
      </c>
      <c r="L469" s="3">
        <f>Work[[#This Row],[Unit Price]]*Work[[#This Row],[Quantity]]</f>
        <v>1648</v>
      </c>
      <c r="M469" s="3">
        <f>Work[[#This Row],[Revenue]]*Work[[#This Row],[cost percentage]]</f>
        <v>1071.2</v>
      </c>
      <c r="N469" s="3">
        <f>Work[[#This Row],[Revenue]]-Work[[#This Row],[Cost]]</f>
        <v>576.79999999999995</v>
      </c>
      <c r="O469">
        <v>8</v>
      </c>
      <c r="P469" s="6">
        <f>Work[[#This Row],[Delivered Date]]-Work[[#This Row],[Order Date]]</f>
        <v>12</v>
      </c>
      <c r="Q469" t="s">
        <v>28</v>
      </c>
      <c r="R469" t="s">
        <v>551</v>
      </c>
      <c r="S469" t="s">
        <v>29</v>
      </c>
    </row>
    <row r="470" spans="1:19" x14ac:dyDescent="0.35">
      <c r="A470">
        <v>194</v>
      </c>
      <c r="B470" t="s">
        <v>240</v>
      </c>
      <c r="C470" t="s">
        <v>12</v>
      </c>
      <c r="D470" t="s">
        <v>36</v>
      </c>
      <c r="E470" s="9">
        <v>45592</v>
      </c>
      <c r="F470" s="9">
        <v>45599</v>
      </c>
      <c r="G470" s="4" t="str">
        <f>TEXT(Work[[#This Row],[Delivered Date]],"mmm")</f>
        <v>Nov</v>
      </c>
      <c r="H470" s="16">
        <f>MONTH(Work[[#This Row],[Delivered Date]])</f>
        <v>11</v>
      </c>
      <c r="I470" s="1" t="str">
        <f>TEXT(Work[[#This Row],[Delivered Date]],"ddd")</f>
        <v>Sun</v>
      </c>
      <c r="J470" s="4">
        <f>_xlfn.XLOOKUP(Work[[#This Row],[Product Name]],Cost[Product Name],Cost[Cost Percentage],"NA")</f>
        <v>0.8</v>
      </c>
      <c r="K470" s="3">
        <v>258</v>
      </c>
      <c r="L470" s="3">
        <f>Work[[#This Row],[Unit Price]]*Work[[#This Row],[Quantity]]</f>
        <v>1032</v>
      </c>
      <c r="M470" s="3">
        <f>Work[[#This Row],[Revenue]]*Work[[#This Row],[cost percentage]]</f>
        <v>825.6</v>
      </c>
      <c r="N470" s="3">
        <f>Work[[#This Row],[Revenue]]-Work[[#This Row],[Cost]]</f>
        <v>206.39999999999998</v>
      </c>
      <c r="O470">
        <v>4</v>
      </c>
      <c r="P470" s="6">
        <f>Work[[#This Row],[Delivered Date]]-Work[[#This Row],[Order Date]]</f>
        <v>7</v>
      </c>
      <c r="Q470" t="s">
        <v>14</v>
      </c>
      <c r="R470" t="s">
        <v>551</v>
      </c>
      <c r="S470" t="s">
        <v>19</v>
      </c>
    </row>
    <row r="471" spans="1:19" x14ac:dyDescent="0.35">
      <c r="A471">
        <v>205</v>
      </c>
      <c r="B471" t="s">
        <v>251</v>
      </c>
      <c r="C471" t="s">
        <v>31</v>
      </c>
      <c r="D471" t="s">
        <v>76</v>
      </c>
      <c r="E471" s="9">
        <v>45619</v>
      </c>
      <c r="F471" s="9">
        <v>45625</v>
      </c>
      <c r="G471" s="4" t="str">
        <f>TEXT(Work[[#This Row],[Delivered Date]],"mmm")</f>
        <v>Nov</v>
      </c>
      <c r="H471" s="16">
        <f>MONTH(Work[[#This Row],[Delivered Date]])</f>
        <v>11</v>
      </c>
      <c r="I471" s="1" t="str">
        <f>TEXT(Work[[#This Row],[Delivered Date]],"ddd")</f>
        <v>Fri</v>
      </c>
      <c r="J471" s="4">
        <f>_xlfn.XLOOKUP(Work[[#This Row],[Product Name]],Cost[Product Name],Cost[Cost Percentage],"NA")</f>
        <v>0.75</v>
      </c>
      <c r="K471" s="3">
        <v>386</v>
      </c>
      <c r="L471" s="3">
        <f>Work[[#This Row],[Unit Price]]*Work[[#This Row],[Quantity]]</f>
        <v>1930</v>
      </c>
      <c r="M471" s="3">
        <f>Work[[#This Row],[Revenue]]*Work[[#This Row],[cost percentage]]</f>
        <v>1447.5</v>
      </c>
      <c r="N471" s="3">
        <f>Work[[#This Row],[Revenue]]-Work[[#This Row],[Cost]]</f>
        <v>482.5</v>
      </c>
      <c r="O471">
        <v>5</v>
      </c>
      <c r="P471" s="6">
        <f>Work[[#This Row],[Delivered Date]]-Work[[#This Row],[Order Date]]</f>
        <v>6</v>
      </c>
      <c r="Q471" t="s">
        <v>14</v>
      </c>
      <c r="R471" t="s">
        <v>33</v>
      </c>
      <c r="S471" t="s">
        <v>46</v>
      </c>
    </row>
    <row r="472" spans="1:19" x14ac:dyDescent="0.35">
      <c r="A472">
        <v>228</v>
      </c>
      <c r="B472" t="s">
        <v>274</v>
      </c>
      <c r="C472" t="s">
        <v>21</v>
      </c>
      <c r="D472" t="s">
        <v>52</v>
      </c>
      <c r="E472" s="9">
        <v>45620</v>
      </c>
      <c r="F472" s="9">
        <v>45623</v>
      </c>
      <c r="G472" s="4" t="str">
        <f>TEXT(Work[[#This Row],[Delivered Date]],"mmm")</f>
        <v>Nov</v>
      </c>
      <c r="H472" s="16">
        <f>MONTH(Work[[#This Row],[Delivered Date]])</f>
        <v>11</v>
      </c>
      <c r="I472" s="1" t="str">
        <f>TEXT(Work[[#This Row],[Delivered Date]],"ddd")</f>
        <v>Wed</v>
      </c>
      <c r="J472" s="4">
        <f>_xlfn.XLOOKUP(Work[[#This Row],[Product Name]],Cost[Product Name],Cost[Cost Percentage],"NA")</f>
        <v>0.7</v>
      </c>
      <c r="K472" s="3">
        <v>546</v>
      </c>
      <c r="L472" s="3">
        <f>Work[[#This Row],[Unit Price]]*Work[[#This Row],[Quantity]]</f>
        <v>546</v>
      </c>
      <c r="M472" s="3">
        <f>Work[[#This Row],[Revenue]]*Work[[#This Row],[cost percentage]]</f>
        <v>382.2</v>
      </c>
      <c r="N472" s="3">
        <f>Work[[#This Row],[Revenue]]-Work[[#This Row],[Cost]]</f>
        <v>163.80000000000001</v>
      </c>
      <c r="O472">
        <v>1</v>
      </c>
      <c r="P472" s="6">
        <f>Work[[#This Row],[Delivered Date]]-Work[[#This Row],[Order Date]]</f>
        <v>3</v>
      </c>
      <c r="Q472" t="s">
        <v>28</v>
      </c>
      <c r="R472" t="s">
        <v>551</v>
      </c>
      <c r="S472" t="s">
        <v>29</v>
      </c>
    </row>
    <row r="473" spans="1:19" x14ac:dyDescent="0.35">
      <c r="A473">
        <v>240</v>
      </c>
      <c r="B473" t="s">
        <v>286</v>
      </c>
      <c r="C473" t="s">
        <v>17</v>
      </c>
      <c r="D473" t="s">
        <v>60</v>
      </c>
      <c r="E473" s="9">
        <v>45596</v>
      </c>
      <c r="F473" s="9">
        <v>45610</v>
      </c>
      <c r="G473" s="4" t="str">
        <f>TEXT(Work[[#This Row],[Delivered Date]],"mmm")</f>
        <v>Nov</v>
      </c>
      <c r="H473" s="16">
        <f>MONTH(Work[[#This Row],[Delivered Date]])</f>
        <v>11</v>
      </c>
      <c r="I473" s="1" t="str">
        <f>TEXT(Work[[#This Row],[Delivered Date]],"ddd")</f>
        <v>Thu</v>
      </c>
      <c r="J473" s="4">
        <f>_xlfn.XLOOKUP(Work[[#This Row],[Product Name]],Cost[Product Name],Cost[Cost Percentage],"NA")</f>
        <v>0.65</v>
      </c>
      <c r="K473" s="3">
        <v>802</v>
      </c>
      <c r="L473" s="3">
        <f>Work[[#This Row],[Unit Price]]*Work[[#This Row],[Quantity]]</f>
        <v>5614</v>
      </c>
      <c r="M473" s="3">
        <f>Work[[#This Row],[Revenue]]*Work[[#This Row],[cost percentage]]</f>
        <v>3649.1</v>
      </c>
      <c r="N473" s="3">
        <f>Work[[#This Row],[Revenue]]-Work[[#This Row],[Cost]]</f>
        <v>1964.9</v>
      </c>
      <c r="O473">
        <v>7</v>
      </c>
      <c r="P473" s="6">
        <f>Work[[#This Row],[Delivered Date]]-Work[[#This Row],[Order Date]]</f>
        <v>14</v>
      </c>
      <c r="Q473" t="s">
        <v>28</v>
      </c>
      <c r="R473" t="s">
        <v>547</v>
      </c>
      <c r="S473" t="s">
        <v>19</v>
      </c>
    </row>
    <row r="474" spans="1:19" x14ac:dyDescent="0.35">
      <c r="A474">
        <v>242</v>
      </c>
      <c r="B474" t="s">
        <v>288</v>
      </c>
      <c r="C474" t="s">
        <v>17</v>
      </c>
      <c r="D474" t="s">
        <v>18</v>
      </c>
      <c r="E474" s="9">
        <v>45597</v>
      </c>
      <c r="F474" s="9">
        <v>45602</v>
      </c>
      <c r="G474" s="4" t="str">
        <f>TEXT(Work[[#This Row],[Delivered Date]],"mmm")</f>
        <v>Nov</v>
      </c>
      <c r="H474" s="16">
        <f>MONTH(Work[[#This Row],[Delivered Date]])</f>
        <v>11</v>
      </c>
      <c r="I474" s="1" t="str">
        <f>TEXT(Work[[#This Row],[Delivered Date]],"ddd")</f>
        <v>Wed</v>
      </c>
      <c r="J474" s="4">
        <f>_xlfn.XLOOKUP(Work[[#This Row],[Product Name]],Cost[Product Name],Cost[Cost Percentage],"NA")</f>
        <v>0.5</v>
      </c>
      <c r="K474" s="3">
        <v>813</v>
      </c>
      <c r="L474" s="3">
        <f>Work[[#This Row],[Unit Price]]*Work[[#This Row],[Quantity]]</f>
        <v>8130</v>
      </c>
      <c r="M474" s="3">
        <f>Work[[#This Row],[Revenue]]*Work[[#This Row],[cost percentage]]</f>
        <v>4065</v>
      </c>
      <c r="N474" s="3">
        <f>Work[[#This Row],[Revenue]]-Work[[#This Row],[Cost]]</f>
        <v>4065</v>
      </c>
      <c r="O474">
        <v>10</v>
      </c>
      <c r="P474" s="6">
        <f>Work[[#This Row],[Delivered Date]]-Work[[#This Row],[Order Date]]</f>
        <v>5</v>
      </c>
      <c r="Q474" t="s">
        <v>14</v>
      </c>
      <c r="R474" t="s">
        <v>547</v>
      </c>
      <c r="S474" t="s">
        <v>15</v>
      </c>
    </row>
    <row r="475" spans="1:19" x14ac:dyDescent="0.35">
      <c r="A475">
        <v>257</v>
      </c>
      <c r="B475" t="s">
        <v>303</v>
      </c>
      <c r="C475" t="s">
        <v>31</v>
      </c>
      <c r="D475" t="s">
        <v>50</v>
      </c>
      <c r="E475" s="9">
        <v>45608</v>
      </c>
      <c r="F475" s="9">
        <v>45620</v>
      </c>
      <c r="G475" s="4" t="str">
        <f>TEXT(Work[[#This Row],[Delivered Date]],"mmm")</f>
        <v>Nov</v>
      </c>
      <c r="H475" s="16">
        <f>MONTH(Work[[#This Row],[Delivered Date]])</f>
        <v>11</v>
      </c>
      <c r="I475" s="1" t="str">
        <f>TEXT(Work[[#This Row],[Delivered Date]],"ddd")</f>
        <v>Sun</v>
      </c>
      <c r="J475" s="4">
        <f>_xlfn.XLOOKUP(Work[[#This Row],[Product Name]],Cost[Product Name],Cost[Cost Percentage],"NA")</f>
        <v>0.7</v>
      </c>
      <c r="K475" s="3">
        <v>843</v>
      </c>
      <c r="L475" s="3">
        <f>Work[[#This Row],[Unit Price]]*Work[[#This Row],[Quantity]]</f>
        <v>2529</v>
      </c>
      <c r="M475" s="3">
        <f>Work[[#This Row],[Revenue]]*Work[[#This Row],[cost percentage]]</f>
        <v>1770.3</v>
      </c>
      <c r="N475" s="3">
        <f>Work[[#This Row],[Revenue]]-Work[[#This Row],[Cost]]</f>
        <v>758.7</v>
      </c>
      <c r="O475">
        <v>3</v>
      </c>
      <c r="P475" s="6">
        <f>Work[[#This Row],[Delivered Date]]-Work[[#This Row],[Order Date]]</f>
        <v>12</v>
      </c>
      <c r="Q475" t="s">
        <v>28</v>
      </c>
      <c r="R475" t="s">
        <v>552</v>
      </c>
      <c r="S475" t="s">
        <v>19</v>
      </c>
    </row>
    <row r="476" spans="1:19" x14ac:dyDescent="0.35">
      <c r="A476">
        <v>266</v>
      </c>
      <c r="B476" t="s">
        <v>312</v>
      </c>
      <c r="C476" t="s">
        <v>24</v>
      </c>
      <c r="D476" t="s">
        <v>100</v>
      </c>
      <c r="E476" s="9">
        <v>45607</v>
      </c>
      <c r="F476" s="9">
        <v>45620</v>
      </c>
      <c r="G476" s="4" t="str">
        <f>TEXT(Work[[#This Row],[Delivered Date]],"mmm")</f>
        <v>Nov</v>
      </c>
      <c r="H476" s="16">
        <f>MONTH(Work[[#This Row],[Delivered Date]])</f>
        <v>11</v>
      </c>
      <c r="I476" s="1" t="str">
        <f>TEXT(Work[[#This Row],[Delivered Date]],"ddd")</f>
        <v>Sun</v>
      </c>
      <c r="J476" s="4">
        <f>_xlfn.XLOOKUP(Work[[#This Row],[Product Name]],Cost[Product Name],Cost[Cost Percentage],"NA")</f>
        <v>0.6</v>
      </c>
      <c r="K476" s="3">
        <v>813</v>
      </c>
      <c r="L476" s="3">
        <f>Work[[#This Row],[Unit Price]]*Work[[#This Row],[Quantity]]</f>
        <v>2439</v>
      </c>
      <c r="M476" s="3">
        <f>Work[[#This Row],[Revenue]]*Work[[#This Row],[cost percentage]]</f>
        <v>1463.3999999999999</v>
      </c>
      <c r="N476" s="3">
        <f>Work[[#This Row],[Revenue]]-Work[[#This Row],[Cost]]</f>
        <v>975.60000000000014</v>
      </c>
      <c r="O476">
        <v>3</v>
      </c>
      <c r="P476" s="6">
        <f>Work[[#This Row],[Delivered Date]]-Work[[#This Row],[Order Date]]</f>
        <v>13</v>
      </c>
      <c r="Q476" t="s">
        <v>14</v>
      </c>
      <c r="R476" t="s">
        <v>548</v>
      </c>
      <c r="S476" t="s">
        <v>15</v>
      </c>
    </row>
    <row r="477" spans="1:19" x14ac:dyDescent="0.35">
      <c r="A477">
        <v>284</v>
      </c>
      <c r="B477" t="s">
        <v>330</v>
      </c>
      <c r="C477" t="s">
        <v>17</v>
      </c>
      <c r="D477" t="s">
        <v>56</v>
      </c>
      <c r="E477" s="9">
        <v>45613</v>
      </c>
      <c r="F477" s="9">
        <v>45616</v>
      </c>
      <c r="G477" s="4" t="str">
        <f>TEXT(Work[[#This Row],[Delivered Date]],"mmm")</f>
        <v>Nov</v>
      </c>
      <c r="H477" s="16">
        <f>MONTH(Work[[#This Row],[Delivered Date]])</f>
        <v>11</v>
      </c>
      <c r="I477" s="1" t="str">
        <f>TEXT(Work[[#This Row],[Delivered Date]],"ddd")</f>
        <v>Wed</v>
      </c>
      <c r="J477" s="4">
        <f>_xlfn.XLOOKUP(Work[[#This Row],[Product Name]],Cost[Product Name],Cost[Cost Percentage],"NA")</f>
        <v>0.55000000000000004</v>
      </c>
      <c r="K477" s="3">
        <v>795</v>
      </c>
      <c r="L477" s="3">
        <f>Work[[#This Row],[Unit Price]]*Work[[#This Row],[Quantity]]</f>
        <v>7155</v>
      </c>
      <c r="M477" s="3">
        <f>Work[[#This Row],[Revenue]]*Work[[#This Row],[cost percentage]]</f>
        <v>3935.2500000000005</v>
      </c>
      <c r="N477" s="3">
        <f>Work[[#This Row],[Revenue]]-Work[[#This Row],[Cost]]</f>
        <v>3219.7499999999995</v>
      </c>
      <c r="O477">
        <v>9</v>
      </c>
      <c r="P477" s="6">
        <f>Work[[#This Row],[Delivered Date]]-Work[[#This Row],[Order Date]]</f>
        <v>3</v>
      </c>
      <c r="Q477" t="s">
        <v>28</v>
      </c>
      <c r="R477" t="s">
        <v>550</v>
      </c>
      <c r="S477" t="s">
        <v>46</v>
      </c>
    </row>
    <row r="478" spans="1:19" x14ac:dyDescent="0.35">
      <c r="A478">
        <v>286</v>
      </c>
      <c r="B478" t="s">
        <v>332</v>
      </c>
      <c r="C478" t="s">
        <v>31</v>
      </c>
      <c r="D478" t="s">
        <v>50</v>
      </c>
      <c r="E478" s="9">
        <v>45592</v>
      </c>
      <c r="F478" s="9">
        <v>45606</v>
      </c>
      <c r="G478" s="4" t="str">
        <f>TEXT(Work[[#This Row],[Delivered Date]],"mmm")</f>
        <v>Nov</v>
      </c>
      <c r="H478" s="16">
        <f>MONTH(Work[[#This Row],[Delivered Date]])</f>
        <v>11</v>
      </c>
      <c r="I478" s="1" t="str">
        <f>TEXT(Work[[#This Row],[Delivered Date]],"ddd")</f>
        <v>Sun</v>
      </c>
      <c r="J478" s="4">
        <f>_xlfn.XLOOKUP(Work[[#This Row],[Product Name]],Cost[Product Name],Cost[Cost Percentage],"NA")</f>
        <v>0.7</v>
      </c>
      <c r="K478" s="3">
        <v>327</v>
      </c>
      <c r="L478" s="3">
        <f>Work[[#This Row],[Unit Price]]*Work[[#This Row],[Quantity]]</f>
        <v>654</v>
      </c>
      <c r="M478" s="3">
        <f>Work[[#This Row],[Revenue]]*Work[[#This Row],[cost percentage]]</f>
        <v>457.79999999999995</v>
      </c>
      <c r="N478" s="3">
        <f>Work[[#This Row],[Revenue]]-Work[[#This Row],[Cost]]</f>
        <v>196.20000000000005</v>
      </c>
      <c r="O478">
        <v>2</v>
      </c>
      <c r="P478" s="6">
        <f>Work[[#This Row],[Delivered Date]]-Work[[#This Row],[Order Date]]</f>
        <v>14</v>
      </c>
      <c r="Q478" t="s">
        <v>28</v>
      </c>
      <c r="R478" t="s">
        <v>552</v>
      </c>
      <c r="S478" t="s">
        <v>29</v>
      </c>
    </row>
    <row r="479" spans="1:19" x14ac:dyDescent="0.35">
      <c r="A479">
        <v>295</v>
      </c>
      <c r="B479" t="s">
        <v>341</v>
      </c>
      <c r="C479" t="s">
        <v>17</v>
      </c>
      <c r="D479" t="s">
        <v>56</v>
      </c>
      <c r="E479" s="9">
        <v>45617</v>
      </c>
      <c r="F479" s="9">
        <v>45621</v>
      </c>
      <c r="G479" s="4" t="str">
        <f>TEXT(Work[[#This Row],[Delivered Date]],"mmm")</f>
        <v>Nov</v>
      </c>
      <c r="H479" s="16">
        <f>MONTH(Work[[#This Row],[Delivered Date]])</f>
        <v>11</v>
      </c>
      <c r="I479" s="1" t="str">
        <f>TEXT(Work[[#This Row],[Delivered Date]],"ddd")</f>
        <v>Mon</v>
      </c>
      <c r="J479" s="4">
        <f>_xlfn.XLOOKUP(Work[[#This Row],[Product Name]],Cost[Product Name],Cost[Cost Percentage],"NA")</f>
        <v>0.55000000000000004</v>
      </c>
      <c r="K479" s="3">
        <v>983</v>
      </c>
      <c r="L479" s="3">
        <f>Work[[#This Row],[Unit Price]]*Work[[#This Row],[Quantity]]</f>
        <v>983</v>
      </c>
      <c r="M479" s="3">
        <f>Work[[#This Row],[Revenue]]*Work[[#This Row],[cost percentage]]</f>
        <v>540.65000000000009</v>
      </c>
      <c r="N479" s="3">
        <f>Work[[#This Row],[Revenue]]-Work[[#This Row],[Cost]]</f>
        <v>442.34999999999991</v>
      </c>
      <c r="O479">
        <v>1</v>
      </c>
      <c r="P479" s="6">
        <f>Work[[#This Row],[Delivered Date]]-Work[[#This Row],[Order Date]]</f>
        <v>4</v>
      </c>
      <c r="Q479" t="s">
        <v>28</v>
      </c>
      <c r="R479" t="s">
        <v>547</v>
      </c>
      <c r="S479" t="s">
        <v>19</v>
      </c>
    </row>
    <row r="480" spans="1:19" x14ac:dyDescent="0.35">
      <c r="A480">
        <v>298</v>
      </c>
      <c r="B480" t="s">
        <v>344</v>
      </c>
      <c r="C480" t="s">
        <v>24</v>
      </c>
      <c r="D480" t="s">
        <v>115</v>
      </c>
      <c r="E480" s="9">
        <v>45595</v>
      </c>
      <c r="F480" s="9">
        <v>45605</v>
      </c>
      <c r="G480" s="4" t="str">
        <f>TEXT(Work[[#This Row],[Delivered Date]],"mmm")</f>
        <v>Nov</v>
      </c>
      <c r="H480" s="16">
        <f>MONTH(Work[[#This Row],[Delivered Date]])</f>
        <v>11</v>
      </c>
      <c r="I480" s="1" t="str">
        <f>TEXT(Work[[#This Row],[Delivered Date]],"ddd")</f>
        <v>Sat</v>
      </c>
      <c r="J480" s="4">
        <f>_xlfn.XLOOKUP(Work[[#This Row],[Product Name]],Cost[Product Name],Cost[Cost Percentage],"NA")</f>
        <v>0.6</v>
      </c>
      <c r="K480" s="3">
        <v>73</v>
      </c>
      <c r="L480" s="3">
        <f>Work[[#This Row],[Unit Price]]*Work[[#This Row],[Quantity]]</f>
        <v>730</v>
      </c>
      <c r="M480" s="3">
        <f>Work[[#This Row],[Revenue]]*Work[[#This Row],[cost percentage]]</f>
        <v>438</v>
      </c>
      <c r="N480" s="3">
        <f>Work[[#This Row],[Revenue]]-Work[[#This Row],[Cost]]</f>
        <v>292</v>
      </c>
      <c r="O480">
        <v>10</v>
      </c>
      <c r="P480" s="6">
        <f>Work[[#This Row],[Delivered Date]]-Work[[#This Row],[Order Date]]</f>
        <v>10</v>
      </c>
      <c r="Q480" t="s">
        <v>14</v>
      </c>
      <c r="R480" t="s">
        <v>550</v>
      </c>
      <c r="S480" t="s">
        <v>19</v>
      </c>
    </row>
    <row r="481" spans="1:19" x14ac:dyDescent="0.35">
      <c r="A481">
        <v>320</v>
      </c>
      <c r="B481" t="s">
        <v>366</v>
      </c>
      <c r="C481" t="s">
        <v>31</v>
      </c>
      <c r="D481" t="s">
        <v>42</v>
      </c>
      <c r="E481" s="9">
        <v>45978</v>
      </c>
      <c r="F481" s="9">
        <v>45984</v>
      </c>
      <c r="G481" s="4" t="str">
        <f>TEXT(Work[[#This Row],[Delivered Date]],"mmm")</f>
        <v>Nov</v>
      </c>
      <c r="H481" s="16">
        <f>MONTH(Work[[#This Row],[Delivered Date]])</f>
        <v>11</v>
      </c>
      <c r="I481" s="1" t="str">
        <f>TEXT(Work[[#This Row],[Delivered Date]],"ddd")</f>
        <v>Sun</v>
      </c>
      <c r="J481" s="4">
        <f>_xlfn.XLOOKUP(Work[[#This Row],[Product Name]],Cost[Product Name],Cost[Cost Percentage],"NA")</f>
        <v>0.65</v>
      </c>
      <c r="K481" s="3">
        <v>149</v>
      </c>
      <c r="L481" s="3">
        <f>Work[[#This Row],[Unit Price]]*Work[[#This Row],[Quantity]]</f>
        <v>596</v>
      </c>
      <c r="M481" s="3">
        <f>Work[[#This Row],[Revenue]]*Work[[#This Row],[cost percentage]]</f>
        <v>387.40000000000003</v>
      </c>
      <c r="N481" s="3">
        <f>Work[[#This Row],[Revenue]]-Work[[#This Row],[Cost]]</f>
        <v>208.59999999999997</v>
      </c>
      <c r="O481">
        <v>4</v>
      </c>
      <c r="P481" s="6">
        <f>Work[[#This Row],[Delivered Date]]-Work[[#This Row],[Order Date]]</f>
        <v>6</v>
      </c>
      <c r="Q481" t="s">
        <v>14</v>
      </c>
      <c r="R481" t="s">
        <v>549</v>
      </c>
      <c r="S481" t="s">
        <v>29</v>
      </c>
    </row>
    <row r="482" spans="1:19" x14ac:dyDescent="0.35">
      <c r="A482">
        <v>346</v>
      </c>
      <c r="B482" t="s">
        <v>392</v>
      </c>
      <c r="C482" t="s">
        <v>21</v>
      </c>
      <c r="D482" t="s">
        <v>40</v>
      </c>
      <c r="E482" s="9">
        <v>45964</v>
      </c>
      <c r="F482" s="9">
        <v>45971</v>
      </c>
      <c r="G482" s="4" t="str">
        <f>TEXT(Work[[#This Row],[Delivered Date]],"mmm")</f>
        <v>Nov</v>
      </c>
      <c r="H482" s="16">
        <f>MONTH(Work[[#This Row],[Delivered Date]])</f>
        <v>11</v>
      </c>
      <c r="I482" s="1" t="str">
        <f>TEXT(Work[[#This Row],[Delivered Date]],"ddd")</f>
        <v>Mon</v>
      </c>
      <c r="J482" s="4">
        <f>_xlfn.XLOOKUP(Work[[#This Row],[Product Name]],Cost[Product Name],Cost[Cost Percentage],"NA")</f>
        <v>0.65</v>
      </c>
      <c r="K482" s="3">
        <v>741</v>
      </c>
      <c r="L482" s="3">
        <f>Work[[#This Row],[Unit Price]]*Work[[#This Row],[Quantity]]</f>
        <v>741</v>
      </c>
      <c r="M482" s="3">
        <f>Work[[#This Row],[Revenue]]*Work[[#This Row],[cost percentage]]</f>
        <v>481.65000000000003</v>
      </c>
      <c r="N482" s="3">
        <f>Work[[#This Row],[Revenue]]-Work[[#This Row],[Cost]]</f>
        <v>259.34999999999997</v>
      </c>
      <c r="O482">
        <v>1</v>
      </c>
      <c r="P482" s="6">
        <f>Work[[#This Row],[Delivered Date]]-Work[[#This Row],[Order Date]]</f>
        <v>7</v>
      </c>
      <c r="Q482" t="s">
        <v>14</v>
      </c>
      <c r="R482" t="s">
        <v>549</v>
      </c>
      <c r="S482" t="s">
        <v>29</v>
      </c>
    </row>
    <row r="483" spans="1:19" x14ac:dyDescent="0.35">
      <c r="A483">
        <v>368</v>
      </c>
      <c r="B483" t="s">
        <v>414</v>
      </c>
      <c r="C483" t="s">
        <v>17</v>
      </c>
      <c r="D483" t="s">
        <v>64</v>
      </c>
      <c r="E483" s="9">
        <v>45977</v>
      </c>
      <c r="F483" s="9">
        <v>45986</v>
      </c>
      <c r="G483" s="4" t="str">
        <f>TEXT(Work[[#This Row],[Delivered Date]],"mmm")</f>
        <v>Nov</v>
      </c>
      <c r="H483" s="16">
        <f>MONTH(Work[[#This Row],[Delivered Date]])</f>
        <v>11</v>
      </c>
      <c r="I483" s="1" t="str">
        <f>TEXT(Work[[#This Row],[Delivered Date]],"ddd")</f>
        <v>Tue</v>
      </c>
      <c r="J483" s="4">
        <f>_xlfn.XLOOKUP(Work[[#This Row],[Product Name]],Cost[Product Name],Cost[Cost Percentage],"NA")</f>
        <v>0.5</v>
      </c>
      <c r="K483" s="3">
        <v>137</v>
      </c>
      <c r="L483" s="3">
        <f>Work[[#This Row],[Unit Price]]*Work[[#This Row],[Quantity]]</f>
        <v>1096</v>
      </c>
      <c r="M483" s="3">
        <f>Work[[#This Row],[Revenue]]*Work[[#This Row],[cost percentage]]</f>
        <v>548</v>
      </c>
      <c r="N483" s="3">
        <f>Work[[#This Row],[Revenue]]-Work[[#This Row],[Cost]]</f>
        <v>548</v>
      </c>
      <c r="O483">
        <v>8</v>
      </c>
      <c r="P483" s="6">
        <f>Work[[#This Row],[Delivered Date]]-Work[[#This Row],[Order Date]]</f>
        <v>9</v>
      </c>
      <c r="Q483" t="s">
        <v>14</v>
      </c>
      <c r="R483" t="s">
        <v>550</v>
      </c>
      <c r="S483" t="s">
        <v>15</v>
      </c>
    </row>
    <row r="484" spans="1:19" x14ac:dyDescent="0.35">
      <c r="A484">
        <v>403</v>
      </c>
      <c r="B484" t="s">
        <v>449</v>
      </c>
      <c r="C484" t="s">
        <v>24</v>
      </c>
      <c r="D484" t="s">
        <v>70</v>
      </c>
      <c r="E484" s="9">
        <v>45975</v>
      </c>
      <c r="F484" s="9">
        <v>45985</v>
      </c>
      <c r="G484" s="4" t="str">
        <f>TEXT(Work[[#This Row],[Delivered Date]],"mmm")</f>
        <v>Nov</v>
      </c>
      <c r="H484" s="16">
        <f>MONTH(Work[[#This Row],[Delivered Date]])</f>
        <v>11</v>
      </c>
      <c r="I484" s="1" t="str">
        <f>TEXT(Work[[#This Row],[Delivered Date]],"ddd")</f>
        <v>Mon</v>
      </c>
      <c r="J484" s="4">
        <f>_xlfn.XLOOKUP(Work[[#This Row],[Product Name]],Cost[Product Name],Cost[Cost Percentage],"NA")</f>
        <v>0.55000000000000004</v>
      </c>
      <c r="K484" s="3">
        <v>410</v>
      </c>
      <c r="L484" s="3">
        <f>Work[[#This Row],[Unit Price]]*Work[[#This Row],[Quantity]]</f>
        <v>410</v>
      </c>
      <c r="M484" s="3">
        <f>Work[[#This Row],[Revenue]]*Work[[#This Row],[cost percentage]]</f>
        <v>225.50000000000003</v>
      </c>
      <c r="N484" s="3">
        <f>Work[[#This Row],[Revenue]]-Work[[#This Row],[Cost]]</f>
        <v>184.49999999999997</v>
      </c>
      <c r="O484">
        <v>1</v>
      </c>
      <c r="P484" s="6">
        <f>Work[[#This Row],[Delivered Date]]-Work[[#This Row],[Order Date]]</f>
        <v>10</v>
      </c>
      <c r="Q484" t="s">
        <v>28</v>
      </c>
      <c r="R484" t="s">
        <v>549</v>
      </c>
      <c r="S484" t="s">
        <v>19</v>
      </c>
    </row>
    <row r="485" spans="1:19" x14ac:dyDescent="0.35">
      <c r="A485">
        <v>409</v>
      </c>
      <c r="B485" t="s">
        <v>455</v>
      </c>
      <c r="C485" t="s">
        <v>17</v>
      </c>
      <c r="D485" t="s">
        <v>56</v>
      </c>
      <c r="E485" s="9">
        <v>45970</v>
      </c>
      <c r="F485" s="9">
        <v>45981</v>
      </c>
      <c r="G485" s="4" t="str">
        <f>TEXT(Work[[#This Row],[Delivered Date]],"mmm")</f>
        <v>Nov</v>
      </c>
      <c r="H485" s="16">
        <f>MONTH(Work[[#This Row],[Delivered Date]])</f>
        <v>11</v>
      </c>
      <c r="I485" s="1" t="str">
        <f>TEXT(Work[[#This Row],[Delivered Date]],"ddd")</f>
        <v>Thu</v>
      </c>
      <c r="J485" s="4">
        <f>_xlfn.XLOOKUP(Work[[#This Row],[Product Name]],Cost[Product Name],Cost[Cost Percentage],"NA")</f>
        <v>0.55000000000000004</v>
      </c>
      <c r="K485" s="3">
        <v>180</v>
      </c>
      <c r="L485" s="3">
        <f>Work[[#This Row],[Unit Price]]*Work[[#This Row],[Quantity]]</f>
        <v>720</v>
      </c>
      <c r="M485" s="3">
        <f>Work[[#This Row],[Revenue]]*Work[[#This Row],[cost percentage]]</f>
        <v>396.00000000000006</v>
      </c>
      <c r="N485" s="3">
        <f>Work[[#This Row],[Revenue]]-Work[[#This Row],[Cost]]</f>
        <v>323.99999999999994</v>
      </c>
      <c r="O485">
        <v>4</v>
      </c>
      <c r="P485" s="6">
        <f>Work[[#This Row],[Delivered Date]]-Work[[#This Row],[Order Date]]</f>
        <v>11</v>
      </c>
      <c r="Q485" t="s">
        <v>28</v>
      </c>
      <c r="R485" t="s">
        <v>549</v>
      </c>
      <c r="S485" t="s">
        <v>46</v>
      </c>
    </row>
    <row r="486" spans="1:19" x14ac:dyDescent="0.35">
      <c r="A486">
        <v>419</v>
      </c>
      <c r="B486" t="s">
        <v>465</v>
      </c>
      <c r="C486" t="s">
        <v>31</v>
      </c>
      <c r="D486" t="s">
        <v>76</v>
      </c>
      <c r="E486" s="9">
        <v>45972</v>
      </c>
      <c r="F486" s="9">
        <v>45977</v>
      </c>
      <c r="G486" s="4" t="str">
        <f>TEXT(Work[[#This Row],[Delivered Date]],"mmm")</f>
        <v>Nov</v>
      </c>
      <c r="H486" s="16">
        <f>MONTH(Work[[#This Row],[Delivered Date]])</f>
        <v>11</v>
      </c>
      <c r="I486" s="1" t="str">
        <f>TEXT(Work[[#This Row],[Delivered Date]],"ddd")</f>
        <v>Sun</v>
      </c>
      <c r="J486" s="4">
        <f>_xlfn.XLOOKUP(Work[[#This Row],[Product Name]],Cost[Product Name],Cost[Cost Percentage],"NA")</f>
        <v>0.75</v>
      </c>
      <c r="K486" s="3">
        <v>461</v>
      </c>
      <c r="L486" s="3">
        <f>Work[[#This Row],[Unit Price]]*Work[[#This Row],[Quantity]]</f>
        <v>2766</v>
      </c>
      <c r="M486" s="3">
        <f>Work[[#This Row],[Revenue]]*Work[[#This Row],[cost percentage]]</f>
        <v>2074.5</v>
      </c>
      <c r="N486" s="3">
        <f>Work[[#This Row],[Revenue]]-Work[[#This Row],[Cost]]</f>
        <v>691.5</v>
      </c>
      <c r="O486">
        <v>6</v>
      </c>
      <c r="P486" s="6">
        <f>Work[[#This Row],[Delivered Date]]-Work[[#This Row],[Order Date]]</f>
        <v>5</v>
      </c>
      <c r="Q486" t="s">
        <v>14</v>
      </c>
      <c r="R486" t="s">
        <v>550</v>
      </c>
      <c r="S486" t="s">
        <v>15</v>
      </c>
    </row>
    <row r="487" spans="1:19" x14ac:dyDescent="0.35">
      <c r="A487">
        <v>447</v>
      </c>
      <c r="B487" t="s">
        <v>493</v>
      </c>
      <c r="C487" t="s">
        <v>31</v>
      </c>
      <c r="D487" t="s">
        <v>42</v>
      </c>
      <c r="E487" s="9">
        <v>45965</v>
      </c>
      <c r="F487" s="9">
        <v>45971</v>
      </c>
      <c r="G487" s="4" t="str">
        <f>TEXT(Work[[#This Row],[Delivered Date]],"mmm")</f>
        <v>Nov</v>
      </c>
      <c r="H487" s="16">
        <f>MONTH(Work[[#This Row],[Delivered Date]])</f>
        <v>11</v>
      </c>
      <c r="I487" s="1" t="str">
        <f>TEXT(Work[[#This Row],[Delivered Date]],"ddd")</f>
        <v>Mon</v>
      </c>
      <c r="J487" s="4">
        <f>_xlfn.XLOOKUP(Work[[#This Row],[Product Name]],Cost[Product Name],Cost[Cost Percentage],"NA")</f>
        <v>0.65</v>
      </c>
      <c r="K487" s="3">
        <v>85</v>
      </c>
      <c r="L487" s="3">
        <f>Work[[#This Row],[Unit Price]]*Work[[#This Row],[Quantity]]</f>
        <v>850</v>
      </c>
      <c r="M487" s="3">
        <f>Work[[#This Row],[Revenue]]*Work[[#This Row],[cost percentage]]</f>
        <v>552.5</v>
      </c>
      <c r="N487" s="3">
        <f>Work[[#This Row],[Revenue]]-Work[[#This Row],[Cost]]</f>
        <v>297.5</v>
      </c>
      <c r="O487">
        <v>10</v>
      </c>
      <c r="P487" s="6">
        <f>Work[[#This Row],[Delivered Date]]-Work[[#This Row],[Order Date]]</f>
        <v>6</v>
      </c>
      <c r="Q487" t="s">
        <v>14</v>
      </c>
      <c r="R487" t="s">
        <v>547</v>
      </c>
      <c r="S487" t="s">
        <v>29</v>
      </c>
    </row>
    <row r="488" spans="1:19" x14ac:dyDescent="0.35">
      <c r="A488">
        <v>479</v>
      </c>
      <c r="B488" t="s">
        <v>525</v>
      </c>
      <c r="C488" t="s">
        <v>17</v>
      </c>
      <c r="D488" t="s">
        <v>18</v>
      </c>
      <c r="E488" s="9">
        <v>45953</v>
      </c>
      <c r="F488" s="9">
        <v>45963</v>
      </c>
      <c r="G488" s="4" t="str">
        <f>TEXT(Work[[#This Row],[Delivered Date]],"mmm")</f>
        <v>Nov</v>
      </c>
      <c r="H488" s="16">
        <f>MONTH(Work[[#This Row],[Delivered Date]])</f>
        <v>11</v>
      </c>
      <c r="I488" s="1" t="str">
        <f>TEXT(Work[[#This Row],[Delivered Date]],"ddd")</f>
        <v>Sun</v>
      </c>
      <c r="J488" s="4">
        <f>_xlfn.XLOOKUP(Work[[#This Row],[Product Name]],Cost[Product Name],Cost[Cost Percentage],"NA")</f>
        <v>0.5</v>
      </c>
      <c r="K488" s="3">
        <v>950</v>
      </c>
      <c r="L488" s="3">
        <f>Work[[#This Row],[Unit Price]]*Work[[#This Row],[Quantity]]</f>
        <v>950</v>
      </c>
      <c r="M488" s="3">
        <f>Work[[#This Row],[Revenue]]*Work[[#This Row],[cost percentage]]</f>
        <v>475</v>
      </c>
      <c r="N488" s="3">
        <f>Work[[#This Row],[Revenue]]-Work[[#This Row],[Cost]]</f>
        <v>475</v>
      </c>
      <c r="O488">
        <v>1</v>
      </c>
      <c r="P488" s="6">
        <f>Work[[#This Row],[Delivered Date]]-Work[[#This Row],[Order Date]]</f>
        <v>10</v>
      </c>
      <c r="Q488" t="s">
        <v>14</v>
      </c>
      <c r="R488" t="s">
        <v>549</v>
      </c>
      <c r="S488" t="s">
        <v>19</v>
      </c>
    </row>
    <row r="489" spans="1:19" x14ac:dyDescent="0.35">
      <c r="A489">
        <v>493</v>
      </c>
      <c r="B489" t="s">
        <v>53</v>
      </c>
      <c r="C489" t="s">
        <v>17</v>
      </c>
      <c r="D489" t="s">
        <v>44</v>
      </c>
      <c r="E489" s="9">
        <v>45956</v>
      </c>
      <c r="F489" s="9">
        <v>45962</v>
      </c>
      <c r="G489" s="4" t="str">
        <f>TEXT(Work[[#This Row],[Delivered Date]],"mmm")</f>
        <v>Nov</v>
      </c>
      <c r="H489" s="16">
        <f>MONTH(Work[[#This Row],[Delivered Date]])</f>
        <v>11</v>
      </c>
      <c r="I489" s="1" t="str">
        <f>TEXT(Work[[#This Row],[Delivered Date]],"ddd")</f>
        <v>Sat</v>
      </c>
      <c r="J489" s="4">
        <f>_xlfn.XLOOKUP(Work[[#This Row],[Product Name]],Cost[Product Name],Cost[Cost Percentage],"NA")</f>
        <v>0.6</v>
      </c>
      <c r="K489" s="3">
        <v>894</v>
      </c>
      <c r="L489" s="3">
        <f>Work[[#This Row],[Unit Price]]*Work[[#This Row],[Quantity]]</f>
        <v>5364</v>
      </c>
      <c r="M489" s="3">
        <f>Work[[#This Row],[Revenue]]*Work[[#This Row],[cost percentage]]</f>
        <v>3218.4</v>
      </c>
      <c r="N489" s="3">
        <f>Work[[#This Row],[Revenue]]-Work[[#This Row],[Cost]]</f>
        <v>2145.6</v>
      </c>
      <c r="O489">
        <v>6</v>
      </c>
      <c r="P489" s="6">
        <f>Work[[#This Row],[Delivered Date]]-Work[[#This Row],[Order Date]]</f>
        <v>6</v>
      </c>
      <c r="Q489" t="s">
        <v>28</v>
      </c>
      <c r="R489" t="s">
        <v>33</v>
      </c>
      <c r="S489" t="s">
        <v>15</v>
      </c>
    </row>
    <row r="490" spans="1:19" x14ac:dyDescent="0.35">
      <c r="A490">
        <v>511</v>
      </c>
      <c r="B490" t="s">
        <v>77</v>
      </c>
      <c r="C490" t="s">
        <v>21</v>
      </c>
      <c r="D490" t="s">
        <v>54</v>
      </c>
      <c r="E490" s="9">
        <v>45967</v>
      </c>
      <c r="F490" s="9">
        <v>45973</v>
      </c>
      <c r="G490" s="4" t="str">
        <f>TEXT(Work[[#This Row],[Delivered Date]],"mmm")</f>
        <v>Nov</v>
      </c>
      <c r="H490" s="16">
        <f>MONTH(Work[[#This Row],[Delivered Date]])</f>
        <v>11</v>
      </c>
      <c r="I490" s="1" t="str">
        <f>TEXT(Work[[#This Row],[Delivered Date]],"ddd")</f>
        <v>Wed</v>
      </c>
      <c r="J490" s="4">
        <f>_xlfn.XLOOKUP(Work[[#This Row],[Product Name]],Cost[Product Name],Cost[Cost Percentage],"NA")</f>
        <v>0.7</v>
      </c>
      <c r="K490" s="3">
        <v>568</v>
      </c>
      <c r="L490" s="3">
        <f>Work[[#This Row],[Unit Price]]*Work[[#This Row],[Quantity]]</f>
        <v>3976</v>
      </c>
      <c r="M490" s="3">
        <f>Work[[#This Row],[Revenue]]*Work[[#This Row],[cost percentage]]</f>
        <v>2783.2</v>
      </c>
      <c r="N490" s="3">
        <f>Work[[#This Row],[Revenue]]-Work[[#This Row],[Cost]]</f>
        <v>1192.8000000000002</v>
      </c>
      <c r="O490">
        <v>7</v>
      </c>
      <c r="P490" s="6">
        <f>Work[[#This Row],[Delivered Date]]-Work[[#This Row],[Order Date]]</f>
        <v>6</v>
      </c>
      <c r="Q490" t="s">
        <v>28</v>
      </c>
      <c r="R490" t="s">
        <v>547</v>
      </c>
      <c r="S490" t="s">
        <v>46</v>
      </c>
    </row>
    <row r="491" spans="1:19" x14ac:dyDescent="0.35">
      <c r="A491">
        <v>512</v>
      </c>
      <c r="B491" t="s">
        <v>78</v>
      </c>
      <c r="C491" t="s">
        <v>21</v>
      </c>
      <c r="D491" t="s">
        <v>83</v>
      </c>
      <c r="E491" s="9">
        <v>45972</v>
      </c>
      <c r="F491" s="9">
        <v>45987</v>
      </c>
      <c r="G491" s="4" t="str">
        <f>TEXT(Work[[#This Row],[Delivered Date]],"mmm")</f>
        <v>Nov</v>
      </c>
      <c r="H491" s="16">
        <f>MONTH(Work[[#This Row],[Delivered Date]])</f>
        <v>11</v>
      </c>
      <c r="I491" s="1" t="str">
        <f>TEXT(Work[[#This Row],[Delivered Date]],"ddd")</f>
        <v>Wed</v>
      </c>
      <c r="J491" s="4">
        <f>_xlfn.XLOOKUP(Work[[#This Row],[Product Name]],Cost[Product Name],Cost[Cost Percentage],"NA")</f>
        <v>0.8</v>
      </c>
      <c r="K491" s="3">
        <v>250</v>
      </c>
      <c r="L491" s="3">
        <f>Work[[#This Row],[Unit Price]]*Work[[#This Row],[Quantity]]</f>
        <v>1500</v>
      </c>
      <c r="M491" s="3">
        <f>Work[[#This Row],[Revenue]]*Work[[#This Row],[cost percentage]]</f>
        <v>1200</v>
      </c>
      <c r="N491" s="3">
        <f>Work[[#This Row],[Revenue]]-Work[[#This Row],[Cost]]</f>
        <v>300</v>
      </c>
      <c r="O491">
        <v>6</v>
      </c>
      <c r="P491" s="6">
        <f>Work[[#This Row],[Delivered Date]]-Work[[#This Row],[Order Date]]</f>
        <v>15</v>
      </c>
      <c r="Q491" t="s">
        <v>28</v>
      </c>
      <c r="R491" t="s">
        <v>550</v>
      </c>
      <c r="S491" t="s">
        <v>29</v>
      </c>
    </row>
    <row r="492" spans="1:19" x14ac:dyDescent="0.35">
      <c r="A492">
        <v>527</v>
      </c>
      <c r="B492" t="s">
        <v>95</v>
      </c>
      <c r="C492" t="s">
        <v>24</v>
      </c>
      <c r="D492" t="s">
        <v>25</v>
      </c>
      <c r="E492" s="9">
        <v>45966</v>
      </c>
      <c r="F492" s="9">
        <v>45968</v>
      </c>
      <c r="G492" s="4" t="str">
        <f>TEXT(Work[[#This Row],[Delivered Date]],"mmm")</f>
        <v>Nov</v>
      </c>
      <c r="H492" s="16">
        <f>MONTH(Work[[#This Row],[Delivered Date]])</f>
        <v>11</v>
      </c>
      <c r="I492" s="1" t="str">
        <f>TEXT(Work[[#This Row],[Delivered Date]],"ddd")</f>
        <v>Fri</v>
      </c>
      <c r="J492" s="4">
        <f>_xlfn.XLOOKUP(Work[[#This Row],[Product Name]],Cost[Product Name],Cost[Cost Percentage],"NA")</f>
        <v>0.55000000000000004</v>
      </c>
      <c r="K492" s="3">
        <v>828</v>
      </c>
      <c r="L492" s="3">
        <f>Work[[#This Row],[Unit Price]]*Work[[#This Row],[Quantity]]</f>
        <v>7452</v>
      </c>
      <c r="M492" s="3">
        <f>Work[[#This Row],[Revenue]]*Work[[#This Row],[cost percentage]]</f>
        <v>4098.6000000000004</v>
      </c>
      <c r="N492" s="3">
        <f>Work[[#This Row],[Revenue]]-Work[[#This Row],[Cost]]</f>
        <v>3353.3999999999996</v>
      </c>
      <c r="O492">
        <v>9</v>
      </c>
      <c r="P492" s="6">
        <f>Work[[#This Row],[Delivered Date]]-Work[[#This Row],[Order Date]]</f>
        <v>2</v>
      </c>
      <c r="Q492" t="s">
        <v>14</v>
      </c>
      <c r="R492" t="s">
        <v>549</v>
      </c>
      <c r="S492" t="s">
        <v>19</v>
      </c>
    </row>
    <row r="493" spans="1:19" x14ac:dyDescent="0.35">
      <c r="A493">
        <v>8</v>
      </c>
      <c r="B493" t="s">
        <v>35</v>
      </c>
      <c r="C493" t="s">
        <v>12</v>
      </c>
      <c r="D493" t="s">
        <v>36</v>
      </c>
      <c r="E493" s="9">
        <v>45617</v>
      </c>
      <c r="F493" s="9">
        <v>45627</v>
      </c>
      <c r="G493" s="4" t="str">
        <f>TEXT(Work[[#This Row],[Delivered Date]],"mmm")</f>
        <v>Dec</v>
      </c>
      <c r="H493" s="16">
        <f>MONTH(Work[[#This Row],[Delivered Date]])</f>
        <v>12</v>
      </c>
      <c r="I493" s="1" t="str">
        <f>TEXT(Work[[#This Row],[Delivered Date]],"ddd")</f>
        <v>Sun</v>
      </c>
      <c r="J493" s="4">
        <f>_xlfn.XLOOKUP(Work[[#This Row],[Product Name]],Cost[Product Name],Cost[Cost Percentage],"NA")</f>
        <v>0.8</v>
      </c>
      <c r="K493" s="3">
        <v>556</v>
      </c>
      <c r="L493" s="3">
        <f>Work[[#This Row],[Unit Price]]*Work[[#This Row],[Quantity]]</f>
        <v>1668</v>
      </c>
      <c r="M493" s="3">
        <f>Work[[#This Row],[Revenue]]*Work[[#This Row],[cost percentage]]</f>
        <v>1334.4</v>
      </c>
      <c r="N493" s="3">
        <f>Work[[#This Row],[Revenue]]-Work[[#This Row],[Cost]]</f>
        <v>333.59999999999991</v>
      </c>
      <c r="O493">
        <v>3</v>
      </c>
      <c r="P493" s="6">
        <f>Work[[#This Row],[Delivered Date]]-Work[[#This Row],[Order Date]]</f>
        <v>10</v>
      </c>
      <c r="Q493" t="s">
        <v>14</v>
      </c>
      <c r="R493" t="s">
        <v>33</v>
      </c>
      <c r="S493" t="s">
        <v>19</v>
      </c>
    </row>
    <row r="494" spans="1:19" x14ac:dyDescent="0.35">
      <c r="A494">
        <v>11</v>
      </c>
      <c r="B494" t="s">
        <v>41</v>
      </c>
      <c r="C494" t="s">
        <v>31</v>
      </c>
      <c r="D494" t="s">
        <v>42</v>
      </c>
      <c r="E494" s="9">
        <v>45627</v>
      </c>
      <c r="F494" s="9">
        <v>45636</v>
      </c>
      <c r="G494" s="4" t="str">
        <f>TEXT(Work[[#This Row],[Delivered Date]],"mmm")</f>
        <v>Dec</v>
      </c>
      <c r="H494" s="16">
        <f>MONTH(Work[[#This Row],[Delivered Date]])</f>
        <v>12</v>
      </c>
      <c r="I494" s="1" t="str">
        <f>TEXT(Work[[#This Row],[Delivered Date]],"ddd")</f>
        <v>Tue</v>
      </c>
      <c r="J494" s="4">
        <f>_xlfn.XLOOKUP(Work[[#This Row],[Product Name]],Cost[Product Name],Cost[Cost Percentage],"NA")</f>
        <v>0.65</v>
      </c>
      <c r="K494" s="3">
        <v>415</v>
      </c>
      <c r="L494" s="3">
        <f>Work[[#This Row],[Unit Price]]*Work[[#This Row],[Quantity]]</f>
        <v>3320</v>
      </c>
      <c r="M494" s="3">
        <f>Work[[#This Row],[Revenue]]*Work[[#This Row],[cost percentage]]</f>
        <v>2158</v>
      </c>
      <c r="N494" s="3">
        <f>Work[[#This Row],[Revenue]]-Work[[#This Row],[Cost]]</f>
        <v>1162</v>
      </c>
      <c r="O494">
        <v>8</v>
      </c>
      <c r="P494" s="6">
        <f>Work[[#This Row],[Delivered Date]]-Work[[#This Row],[Order Date]]</f>
        <v>9</v>
      </c>
      <c r="Q494" t="s">
        <v>14</v>
      </c>
      <c r="R494" t="s">
        <v>33</v>
      </c>
      <c r="S494" t="s">
        <v>29</v>
      </c>
    </row>
    <row r="495" spans="1:19" x14ac:dyDescent="0.35">
      <c r="A495">
        <v>15</v>
      </c>
      <c r="B495" t="s">
        <v>48</v>
      </c>
      <c r="C495" t="s">
        <v>12</v>
      </c>
      <c r="D495" t="s">
        <v>13</v>
      </c>
      <c r="E495" s="9">
        <v>45641</v>
      </c>
      <c r="F495" s="9">
        <v>45650</v>
      </c>
      <c r="G495" s="4" t="str">
        <f>TEXT(Work[[#This Row],[Delivered Date]],"mmm")</f>
        <v>Dec</v>
      </c>
      <c r="H495" s="16">
        <f>MONTH(Work[[#This Row],[Delivered Date]])</f>
        <v>12</v>
      </c>
      <c r="I495" s="1" t="str">
        <f>TEXT(Work[[#This Row],[Delivered Date]],"ddd")</f>
        <v>Tue</v>
      </c>
      <c r="J495" s="4">
        <f>_xlfn.XLOOKUP(Work[[#This Row],[Product Name]],Cost[Product Name],Cost[Cost Percentage],"NA")</f>
        <v>0.75</v>
      </c>
      <c r="K495" s="3">
        <v>778</v>
      </c>
      <c r="L495" s="3">
        <f>Work[[#This Row],[Unit Price]]*Work[[#This Row],[Quantity]]</f>
        <v>7002</v>
      </c>
      <c r="M495" s="3">
        <f>Work[[#This Row],[Revenue]]*Work[[#This Row],[cost percentage]]</f>
        <v>5251.5</v>
      </c>
      <c r="N495" s="3">
        <f>Work[[#This Row],[Revenue]]-Work[[#This Row],[Cost]]</f>
        <v>1750.5</v>
      </c>
      <c r="O495">
        <v>9</v>
      </c>
      <c r="P495" s="6">
        <f>Work[[#This Row],[Delivered Date]]-Work[[#This Row],[Order Date]]</f>
        <v>9</v>
      </c>
      <c r="Q495" t="s">
        <v>14</v>
      </c>
      <c r="R495" t="s">
        <v>547</v>
      </c>
      <c r="S495" t="s">
        <v>29</v>
      </c>
    </row>
    <row r="496" spans="1:19" x14ac:dyDescent="0.35">
      <c r="A496">
        <v>23</v>
      </c>
      <c r="B496" t="s">
        <v>61</v>
      </c>
      <c r="C496" t="s">
        <v>31</v>
      </c>
      <c r="D496" t="s">
        <v>50</v>
      </c>
      <c r="E496" s="9">
        <v>45635</v>
      </c>
      <c r="F496" s="9">
        <v>45638</v>
      </c>
      <c r="G496" s="4" t="str">
        <f>TEXT(Work[[#This Row],[Delivered Date]],"mmm")</f>
        <v>Dec</v>
      </c>
      <c r="H496" s="16">
        <f>MONTH(Work[[#This Row],[Delivered Date]])</f>
        <v>12</v>
      </c>
      <c r="I496" s="1" t="str">
        <f>TEXT(Work[[#This Row],[Delivered Date]],"ddd")</f>
        <v>Thu</v>
      </c>
      <c r="J496" s="4">
        <f>_xlfn.XLOOKUP(Work[[#This Row],[Product Name]],Cost[Product Name],Cost[Cost Percentage],"NA")</f>
        <v>0.7</v>
      </c>
      <c r="K496" s="3">
        <v>458</v>
      </c>
      <c r="L496" s="3">
        <f>Work[[#This Row],[Unit Price]]*Work[[#This Row],[Quantity]]</f>
        <v>2748</v>
      </c>
      <c r="M496" s="3">
        <f>Work[[#This Row],[Revenue]]*Work[[#This Row],[cost percentage]]</f>
        <v>1923.6</v>
      </c>
      <c r="N496" s="3">
        <f>Work[[#This Row],[Revenue]]-Work[[#This Row],[Cost]]</f>
        <v>824.40000000000009</v>
      </c>
      <c r="O496">
        <v>6</v>
      </c>
      <c r="P496" s="6">
        <f>Work[[#This Row],[Delivered Date]]-Work[[#This Row],[Order Date]]</f>
        <v>3</v>
      </c>
      <c r="Q496" t="s">
        <v>14</v>
      </c>
      <c r="R496" t="s">
        <v>33</v>
      </c>
      <c r="S496" t="s">
        <v>19</v>
      </c>
    </row>
    <row r="497" spans="1:19" x14ac:dyDescent="0.35">
      <c r="A497">
        <v>30</v>
      </c>
      <c r="B497" t="s">
        <v>69</v>
      </c>
      <c r="C497" t="s">
        <v>24</v>
      </c>
      <c r="D497" t="s">
        <v>70</v>
      </c>
      <c r="E497" s="9">
        <v>45630</v>
      </c>
      <c r="F497" s="9">
        <v>45637</v>
      </c>
      <c r="G497" s="4" t="str">
        <f>TEXT(Work[[#This Row],[Delivered Date]],"mmm")</f>
        <v>Dec</v>
      </c>
      <c r="H497" s="16">
        <f>MONTH(Work[[#This Row],[Delivered Date]])</f>
        <v>12</v>
      </c>
      <c r="I497" s="1" t="str">
        <f>TEXT(Work[[#This Row],[Delivered Date]],"ddd")</f>
        <v>Wed</v>
      </c>
      <c r="J497" s="4">
        <f>_xlfn.XLOOKUP(Work[[#This Row],[Product Name]],Cost[Product Name],Cost[Cost Percentage],"NA")</f>
        <v>0.55000000000000004</v>
      </c>
      <c r="K497" s="3">
        <v>168</v>
      </c>
      <c r="L497" s="3">
        <f>Work[[#This Row],[Unit Price]]*Work[[#This Row],[Quantity]]</f>
        <v>1344</v>
      </c>
      <c r="M497" s="3">
        <f>Work[[#This Row],[Revenue]]*Work[[#This Row],[cost percentage]]</f>
        <v>739.2</v>
      </c>
      <c r="N497" s="3">
        <f>Work[[#This Row],[Revenue]]-Work[[#This Row],[Cost]]</f>
        <v>604.79999999999995</v>
      </c>
      <c r="O497">
        <v>8</v>
      </c>
      <c r="P497" s="6">
        <f>Work[[#This Row],[Delivered Date]]-Work[[#This Row],[Order Date]]</f>
        <v>7</v>
      </c>
      <c r="Q497" t="s">
        <v>14</v>
      </c>
      <c r="R497" t="s">
        <v>551</v>
      </c>
      <c r="S497" t="s">
        <v>19</v>
      </c>
    </row>
    <row r="498" spans="1:19" x14ac:dyDescent="0.35">
      <c r="A498">
        <v>38</v>
      </c>
      <c r="B498" t="s">
        <v>80</v>
      </c>
      <c r="C498" t="s">
        <v>17</v>
      </c>
      <c r="D498" t="s">
        <v>18</v>
      </c>
      <c r="E498" s="9">
        <v>45633</v>
      </c>
      <c r="F498" s="9">
        <v>45645</v>
      </c>
      <c r="G498" s="4" t="str">
        <f>TEXT(Work[[#This Row],[Delivered Date]],"mmm")</f>
        <v>Dec</v>
      </c>
      <c r="H498" s="16">
        <f>MONTH(Work[[#This Row],[Delivered Date]])</f>
        <v>12</v>
      </c>
      <c r="I498" s="1" t="str">
        <f>TEXT(Work[[#This Row],[Delivered Date]],"ddd")</f>
        <v>Thu</v>
      </c>
      <c r="J498" s="4">
        <f>_xlfn.XLOOKUP(Work[[#This Row],[Product Name]],Cost[Product Name],Cost[Cost Percentage],"NA")</f>
        <v>0.5</v>
      </c>
      <c r="K498" s="3">
        <v>316</v>
      </c>
      <c r="L498" s="3">
        <f>Work[[#This Row],[Unit Price]]*Work[[#This Row],[Quantity]]</f>
        <v>2844</v>
      </c>
      <c r="M498" s="3">
        <f>Work[[#This Row],[Revenue]]*Work[[#This Row],[cost percentage]]</f>
        <v>1422</v>
      </c>
      <c r="N498" s="3">
        <f>Work[[#This Row],[Revenue]]-Work[[#This Row],[Cost]]</f>
        <v>1422</v>
      </c>
      <c r="O498">
        <v>9</v>
      </c>
      <c r="P498" s="6">
        <f>Work[[#This Row],[Delivered Date]]-Work[[#This Row],[Order Date]]</f>
        <v>12</v>
      </c>
      <c r="Q498" t="s">
        <v>14</v>
      </c>
      <c r="R498" t="s">
        <v>33</v>
      </c>
      <c r="S498" t="s">
        <v>15</v>
      </c>
    </row>
    <row r="499" spans="1:19" x14ac:dyDescent="0.35">
      <c r="A499">
        <v>43</v>
      </c>
      <c r="B499" t="s">
        <v>86</v>
      </c>
      <c r="C499" t="s">
        <v>12</v>
      </c>
      <c r="D499" t="s">
        <v>13</v>
      </c>
      <c r="E499" s="9">
        <v>45645</v>
      </c>
      <c r="F499" s="9">
        <v>45651</v>
      </c>
      <c r="G499" s="4" t="str">
        <f>TEXT(Work[[#This Row],[Delivered Date]],"mmm")</f>
        <v>Dec</v>
      </c>
      <c r="H499" s="16">
        <f>MONTH(Work[[#This Row],[Delivered Date]])</f>
        <v>12</v>
      </c>
      <c r="I499" s="1" t="str">
        <f>TEXT(Work[[#This Row],[Delivered Date]],"ddd")</f>
        <v>Wed</v>
      </c>
      <c r="J499" s="4">
        <f>_xlfn.XLOOKUP(Work[[#This Row],[Product Name]],Cost[Product Name],Cost[Cost Percentage],"NA")</f>
        <v>0.75</v>
      </c>
      <c r="K499" s="3">
        <v>568</v>
      </c>
      <c r="L499" s="3">
        <f>Work[[#This Row],[Unit Price]]*Work[[#This Row],[Quantity]]</f>
        <v>1704</v>
      </c>
      <c r="M499" s="3">
        <f>Work[[#This Row],[Revenue]]*Work[[#This Row],[cost percentage]]</f>
        <v>1278</v>
      </c>
      <c r="N499" s="3">
        <f>Work[[#This Row],[Revenue]]-Work[[#This Row],[Cost]]</f>
        <v>426</v>
      </c>
      <c r="O499">
        <v>3</v>
      </c>
      <c r="P499" s="6">
        <f>Work[[#This Row],[Delivered Date]]-Work[[#This Row],[Order Date]]</f>
        <v>6</v>
      </c>
      <c r="Q499" t="s">
        <v>28</v>
      </c>
      <c r="R499" t="s">
        <v>551</v>
      </c>
      <c r="S499" t="s">
        <v>46</v>
      </c>
    </row>
    <row r="500" spans="1:19" x14ac:dyDescent="0.35">
      <c r="A500">
        <v>45</v>
      </c>
      <c r="B500" t="s">
        <v>88</v>
      </c>
      <c r="C500" t="s">
        <v>31</v>
      </c>
      <c r="D500" t="s">
        <v>42</v>
      </c>
      <c r="E500" s="9">
        <v>45641</v>
      </c>
      <c r="F500" s="9">
        <v>45652</v>
      </c>
      <c r="G500" s="4" t="str">
        <f>TEXT(Work[[#This Row],[Delivered Date]],"mmm")</f>
        <v>Dec</v>
      </c>
      <c r="H500" s="16">
        <f>MONTH(Work[[#This Row],[Delivered Date]])</f>
        <v>12</v>
      </c>
      <c r="I500" s="1" t="str">
        <f>TEXT(Work[[#This Row],[Delivered Date]],"ddd")</f>
        <v>Thu</v>
      </c>
      <c r="J500" s="4">
        <f>_xlfn.XLOOKUP(Work[[#This Row],[Product Name]],Cost[Product Name],Cost[Cost Percentage],"NA")</f>
        <v>0.65</v>
      </c>
      <c r="K500" s="3">
        <v>692</v>
      </c>
      <c r="L500" s="3">
        <f>Work[[#This Row],[Unit Price]]*Work[[#This Row],[Quantity]]</f>
        <v>2768</v>
      </c>
      <c r="M500" s="3">
        <f>Work[[#This Row],[Revenue]]*Work[[#This Row],[cost percentage]]</f>
        <v>1799.2</v>
      </c>
      <c r="N500" s="3">
        <f>Work[[#This Row],[Revenue]]-Work[[#This Row],[Cost]]</f>
        <v>968.8</v>
      </c>
      <c r="O500">
        <v>4</v>
      </c>
      <c r="P500" s="6">
        <f>Work[[#This Row],[Delivered Date]]-Work[[#This Row],[Order Date]]</f>
        <v>11</v>
      </c>
      <c r="Q500" t="s">
        <v>28</v>
      </c>
      <c r="R500" t="s">
        <v>551</v>
      </c>
      <c r="S500" t="s">
        <v>19</v>
      </c>
    </row>
    <row r="501" spans="1:19" x14ac:dyDescent="0.35">
      <c r="A501">
        <v>51</v>
      </c>
      <c r="B501" t="s">
        <v>94</v>
      </c>
      <c r="C501" t="s">
        <v>24</v>
      </c>
      <c r="D501" t="s">
        <v>38</v>
      </c>
      <c r="E501" s="9">
        <v>45637</v>
      </c>
      <c r="F501" s="9">
        <v>45647</v>
      </c>
      <c r="G501" s="4" t="str">
        <f>TEXT(Work[[#This Row],[Delivered Date]],"mmm")</f>
        <v>Dec</v>
      </c>
      <c r="H501" s="16">
        <f>MONTH(Work[[#This Row],[Delivered Date]])</f>
        <v>12</v>
      </c>
      <c r="I501" s="1" t="str">
        <f>TEXT(Work[[#This Row],[Delivered Date]],"ddd")</f>
        <v>Sat</v>
      </c>
      <c r="J501" s="4">
        <f>_xlfn.XLOOKUP(Work[[#This Row],[Product Name]],Cost[Product Name],Cost[Cost Percentage],"NA")</f>
        <v>0.5</v>
      </c>
      <c r="K501" s="3">
        <v>533</v>
      </c>
      <c r="L501" s="3">
        <f>Work[[#This Row],[Unit Price]]*Work[[#This Row],[Quantity]]</f>
        <v>2132</v>
      </c>
      <c r="M501" s="3">
        <f>Work[[#This Row],[Revenue]]*Work[[#This Row],[cost percentage]]</f>
        <v>1066</v>
      </c>
      <c r="N501" s="3">
        <f>Work[[#This Row],[Revenue]]-Work[[#This Row],[Cost]]</f>
        <v>1066</v>
      </c>
      <c r="O501">
        <v>4</v>
      </c>
      <c r="P501" s="6">
        <f>Work[[#This Row],[Delivered Date]]-Work[[#This Row],[Order Date]]</f>
        <v>10</v>
      </c>
      <c r="Q501" t="s">
        <v>28</v>
      </c>
      <c r="R501" t="s">
        <v>550</v>
      </c>
      <c r="S501" t="s">
        <v>46</v>
      </c>
    </row>
    <row r="502" spans="1:19" x14ac:dyDescent="0.35">
      <c r="A502">
        <v>61</v>
      </c>
      <c r="B502" t="s">
        <v>106</v>
      </c>
      <c r="C502" t="s">
        <v>17</v>
      </c>
      <c r="D502" t="s">
        <v>60</v>
      </c>
      <c r="E502" s="9">
        <v>45631</v>
      </c>
      <c r="F502" s="9">
        <v>45638</v>
      </c>
      <c r="G502" s="4" t="str">
        <f>TEXT(Work[[#This Row],[Delivered Date]],"mmm")</f>
        <v>Dec</v>
      </c>
      <c r="H502" s="16">
        <f>MONTH(Work[[#This Row],[Delivered Date]])</f>
        <v>12</v>
      </c>
      <c r="I502" s="1" t="str">
        <f>TEXT(Work[[#This Row],[Delivered Date]],"ddd")</f>
        <v>Thu</v>
      </c>
      <c r="J502" s="4">
        <f>_xlfn.XLOOKUP(Work[[#This Row],[Product Name]],Cost[Product Name],Cost[Cost Percentage],"NA")</f>
        <v>0.65</v>
      </c>
      <c r="K502" s="3">
        <v>95</v>
      </c>
      <c r="L502" s="3">
        <f>Work[[#This Row],[Unit Price]]*Work[[#This Row],[Quantity]]</f>
        <v>95</v>
      </c>
      <c r="M502" s="3">
        <f>Work[[#This Row],[Revenue]]*Work[[#This Row],[cost percentage]]</f>
        <v>61.75</v>
      </c>
      <c r="N502" s="3">
        <f>Work[[#This Row],[Revenue]]-Work[[#This Row],[Cost]]</f>
        <v>33.25</v>
      </c>
      <c r="O502">
        <v>1</v>
      </c>
      <c r="P502" s="6">
        <f>Work[[#This Row],[Delivered Date]]-Work[[#This Row],[Order Date]]</f>
        <v>7</v>
      </c>
      <c r="Q502" t="s">
        <v>14</v>
      </c>
      <c r="R502" t="s">
        <v>33</v>
      </c>
      <c r="S502" t="s">
        <v>15</v>
      </c>
    </row>
    <row r="503" spans="1:19" x14ac:dyDescent="0.35">
      <c r="A503">
        <v>82</v>
      </c>
      <c r="B503" t="s">
        <v>128</v>
      </c>
      <c r="C503" t="s">
        <v>24</v>
      </c>
      <c r="D503" t="s">
        <v>115</v>
      </c>
      <c r="E503" s="9">
        <v>45643</v>
      </c>
      <c r="F503" s="9">
        <v>45656</v>
      </c>
      <c r="G503" s="4" t="str">
        <f>TEXT(Work[[#This Row],[Delivered Date]],"mmm")</f>
        <v>Dec</v>
      </c>
      <c r="H503" s="16">
        <f>MONTH(Work[[#This Row],[Delivered Date]])</f>
        <v>12</v>
      </c>
      <c r="I503" s="1" t="str">
        <f>TEXT(Work[[#This Row],[Delivered Date]],"ddd")</f>
        <v>Mon</v>
      </c>
      <c r="J503" s="4">
        <f>_xlfn.XLOOKUP(Work[[#This Row],[Product Name]],Cost[Product Name],Cost[Cost Percentage],"NA")</f>
        <v>0.6</v>
      </c>
      <c r="K503" s="3">
        <v>956</v>
      </c>
      <c r="L503" s="3">
        <f>Work[[#This Row],[Unit Price]]*Work[[#This Row],[Quantity]]</f>
        <v>3824</v>
      </c>
      <c r="M503" s="3">
        <f>Work[[#This Row],[Revenue]]*Work[[#This Row],[cost percentage]]</f>
        <v>2294.4</v>
      </c>
      <c r="N503" s="3">
        <f>Work[[#This Row],[Revenue]]-Work[[#This Row],[Cost]]</f>
        <v>1529.6</v>
      </c>
      <c r="O503">
        <v>4</v>
      </c>
      <c r="P503" s="6">
        <f>Work[[#This Row],[Delivered Date]]-Work[[#This Row],[Order Date]]</f>
        <v>13</v>
      </c>
      <c r="Q503" t="s">
        <v>28</v>
      </c>
      <c r="R503" t="s">
        <v>547</v>
      </c>
      <c r="S503" t="s">
        <v>19</v>
      </c>
    </row>
    <row r="504" spans="1:19" x14ac:dyDescent="0.35">
      <c r="A504">
        <v>89</v>
      </c>
      <c r="B504" t="s">
        <v>135</v>
      </c>
      <c r="C504" t="s">
        <v>31</v>
      </c>
      <c r="D504" t="s">
        <v>50</v>
      </c>
      <c r="E504" s="9">
        <v>45647</v>
      </c>
      <c r="F504" s="9">
        <v>45650</v>
      </c>
      <c r="G504" s="4" t="str">
        <f>TEXT(Work[[#This Row],[Delivered Date]],"mmm")</f>
        <v>Dec</v>
      </c>
      <c r="H504" s="16">
        <f>MONTH(Work[[#This Row],[Delivered Date]])</f>
        <v>12</v>
      </c>
      <c r="I504" s="1" t="str">
        <f>TEXT(Work[[#This Row],[Delivered Date]],"ddd")</f>
        <v>Tue</v>
      </c>
      <c r="J504" s="4">
        <f>_xlfn.XLOOKUP(Work[[#This Row],[Product Name]],Cost[Product Name],Cost[Cost Percentage],"NA")</f>
        <v>0.7</v>
      </c>
      <c r="K504" s="3">
        <v>305</v>
      </c>
      <c r="L504" s="3">
        <f>Work[[#This Row],[Unit Price]]*Work[[#This Row],[Quantity]]</f>
        <v>2440</v>
      </c>
      <c r="M504" s="3">
        <f>Work[[#This Row],[Revenue]]*Work[[#This Row],[cost percentage]]</f>
        <v>1708</v>
      </c>
      <c r="N504" s="3">
        <f>Work[[#This Row],[Revenue]]-Work[[#This Row],[Cost]]</f>
        <v>732</v>
      </c>
      <c r="O504">
        <v>8</v>
      </c>
      <c r="P504" s="6">
        <f>Work[[#This Row],[Delivered Date]]-Work[[#This Row],[Order Date]]</f>
        <v>3</v>
      </c>
      <c r="Q504" t="s">
        <v>28</v>
      </c>
      <c r="R504" t="s">
        <v>33</v>
      </c>
      <c r="S504" t="s">
        <v>19</v>
      </c>
    </row>
    <row r="505" spans="1:19" x14ac:dyDescent="0.35">
      <c r="A505">
        <v>90</v>
      </c>
      <c r="B505" t="s">
        <v>136</v>
      </c>
      <c r="C505" t="s">
        <v>17</v>
      </c>
      <c r="D505" t="s">
        <v>18</v>
      </c>
      <c r="E505" s="9">
        <v>45628</v>
      </c>
      <c r="F505" s="9">
        <v>45641</v>
      </c>
      <c r="G505" s="4" t="str">
        <f>TEXT(Work[[#This Row],[Delivered Date]],"mmm")</f>
        <v>Dec</v>
      </c>
      <c r="H505" s="16">
        <f>MONTH(Work[[#This Row],[Delivered Date]])</f>
        <v>12</v>
      </c>
      <c r="I505" s="1" t="str">
        <f>TEXT(Work[[#This Row],[Delivered Date]],"ddd")</f>
        <v>Sun</v>
      </c>
      <c r="J505" s="4">
        <f>_xlfn.XLOOKUP(Work[[#This Row],[Product Name]],Cost[Product Name],Cost[Cost Percentage],"NA")</f>
        <v>0.5</v>
      </c>
      <c r="K505" s="3">
        <v>483</v>
      </c>
      <c r="L505" s="3">
        <f>Work[[#This Row],[Unit Price]]*Work[[#This Row],[Quantity]]</f>
        <v>4347</v>
      </c>
      <c r="M505" s="3">
        <f>Work[[#This Row],[Revenue]]*Work[[#This Row],[cost percentage]]</f>
        <v>2173.5</v>
      </c>
      <c r="N505" s="3">
        <f>Work[[#This Row],[Revenue]]-Work[[#This Row],[Cost]]</f>
        <v>2173.5</v>
      </c>
      <c r="O505">
        <v>9</v>
      </c>
      <c r="P505" s="6">
        <f>Work[[#This Row],[Delivered Date]]-Work[[#This Row],[Order Date]]</f>
        <v>13</v>
      </c>
      <c r="Q505" t="s">
        <v>14</v>
      </c>
      <c r="R505" t="s">
        <v>550</v>
      </c>
      <c r="S505" t="s">
        <v>19</v>
      </c>
    </row>
    <row r="506" spans="1:19" x14ac:dyDescent="0.35">
      <c r="A506">
        <v>98</v>
      </c>
      <c r="B506" t="s">
        <v>144</v>
      </c>
      <c r="C506" t="s">
        <v>12</v>
      </c>
      <c r="D506" t="s">
        <v>96</v>
      </c>
      <c r="E506" s="9">
        <v>45637</v>
      </c>
      <c r="F506" s="9">
        <v>45649</v>
      </c>
      <c r="G506" s="4" t="str">
        <f>TEXT(Work[[#This Row],[Delivered Date]],"mmm")</f>
        <v>Dec</v>
      </c>
      <c r="H506" s="16">
        <f>MONTH(Work[[#This Row],[Delivered Date]])</f>
        <v>12</v>
      </c>
      <c r="I506" s="1" t="str">
        <f>TEXT(Work[[#This Row],[Delivered Date]],"ddd")</f>
        <v>Mon</v>
      </c>
      <c r="J506" s="4">
        <f>_xlfn.XLOOKUP(Work[[#This Row],[Product Name]],Cost[Product Name],Cost[Cost Percentage],"NA")</f>
        <v>0.7</v>
      </c>
      <c r="K506" s="3">
        <v>399</v>
      </c>
      <c r="L506" s="3">
        <f>Work[[#This Row],[Unit Price]]*Work[[#This Row],[Quantity]]</f>
        <v>3591</v>
      </c>
      <c r="M506" s="3">
        <f>Work[[#This Row],[Revenue]]*Work[[#This Row],[cost percentage]]</f>
        <v>2513.6999999999998</v>
      </c>
      <c r="N506" s="3">
        <f>Work[[#This Row],[Revenue]]-Work[[#This Row],[Cost]]</f>
        <v>1077.3000000000002</v>
      </c>
      <c r="O506">
        <v>9</v>
      </c>
      <c r="P506" s="6">
        <f>Work[[#This Row],[Delivered Date]]-Work[[#This Row],[Order Date]]</f>
        <v>12</v>
      </c>
      <c r="Q506" t="s">
        <v>28</v>
      </c>
      <c r="R506" t="s">
        <v>547</v>
      </c>
      <c r="S506" t="s">
        <v>15</v>
      </c>
    </row>
    <row r="507" spans="1:19" x14ac:dyDescent="0.35">
      <c r="A507">
        <v>117</v>
      </c>
      <c r="B507" t="s">
        <v>163</v>
      </c>
      <c r="C507" t="s">
        <v>17</v>
      </c>
      <c r="D507" t="s">
        <v>18</v>
      </c>
      <c r="E507" s="9">
        <v>45629</v>
      </c>
      <c r="F507" s="9">
        <v>45633</v>
      </c>
      <c r="G507" s="4" t="str">
        <f>TEXT(Work[[#This Row],[Delivered Date]],"mmm")</f>
        <v>Dec</v>
      </c>
      <c r="H507" s="16">
        <f>MONTH(Work[[#This Row],[Delivered Date]])</f>
        <v>12</v>
      </c>
      <c r="I507" s="1" t="str">
        <f>TEXT(Work[[#This Row],[Delivered Date]],"ddd")</f>
        <v>Sat</v>
      </c>
      <c r="J507" s="4">
        <f>_xlfn.XLOOKUP(Work[[#This Row],[Product Name]],Cost[Product Name],Cost[Cost Percentage],"NA")</f>
        <v>0.5</v>
      </c>
      <c r="K507" s="3">
        <v>318</v>
      </c>
      <c r="L507" s="3">
        <f>Work[[#This Row],[Unit Price]]*Work[[#This Row],[Quantity]]</f>
        <v>2862</v>
      </c>
      <c r="M507" s="3">
        <f>Work[[#This Row],[Revenue]]*Work[[#This Row],[cost percentage]]</f>
        <v>1431</v>
      </c>
      <c r="N507" s="3">
        <f>Work[[#This Row],[Revenue]]-Work[[#This Row],[Cost]]</f>
        <v>1431</v>
      </c>
      <c r="O507">
        <v>9</v>
      </c>
      <c r="P507" s="6">
        <f>Work[[#This Row],[Delivered Date]]-Work[[#This Row],[Order Date]]</f>
        <v>4</v>
      </c>
      <c r="Q507" t="s">
        <v>14</v>
      </c>
      <c r="R507" t="s">
        <v>550</v>
      </c>
      <c r="S507" t="s">
        <v>19</v>
      </c>
    </row>
    <row r="508" spans="1:19" x14ac:dyDescent="0.35">
      <c r="A508">
        <v>124</v>
      </c>
      <c r="B508" t="s">
        <v>170</v>
      </c>
      <c r="C508" t="s">
        <v>17</v>
      </c>
      <c r="D508" t="s">
        <v>56</v>
      </c>
      <c r="E508" s="9">
        <v>45635</v>
      </c>
      <c r="F508" s="9">
        <v>45649</v>
      </c>
      <c r="G508" s="4" t="str">
        <f>TEXT(Work[[#This Row],[Delivered Date]],"mmm")</f>
        <v>Dec</v>
      </c>
      <c r="H508" s="16">
        <f>MONTH(Work[[#This Row],[Delivered Date]])</f>
        <v>12</v>
      </c>
      <c r="I508" s="1" t="str">
        <f>TEXT(Work[[#This Row],[Delivered Date]],"ddd")</f>
        <v>Mon</v>
      </c>
      <c r="J508" s="4">
        <f>_xlfn.XLOOKUP(Work[[#This Row],[Product Name]],Cost[Product Name],Cost[Cost Percentage],"NA")</f>
        <v>0.55000000000000004</v>
      </c>
      <c r="K508" s="3">
        <v>430</v>
      </c>
      <c r="L508" s="3">
        <f>Work[[#This Row],[Unit Price]]*Work[[#This Row],[Quantity]]</f>
        <v>860</v>
      </c>
      <c r="M508" s="3">
        <f>Work[[#This Row],[Revenue]]*Work[[#This Row],[cost percentage]]</f>
        <v>473.00000000000006</v>
      </c>
      <c r="N508" s="3">
        <f>Work[[#This Row],[Revenue]]-Work[[#This Row],[Cost]]</f>
        <v>386.99999999999994</v>
      </c>
      <c r="O508">
        <v>2</v>
      </c>
      <c r="P508" s="6">
        <f>Work[[#This Row],[Delivered Date]]-Work[[#This Row],[Order Date]]</f>
        <v>14</v>
      </c>
      <c r="Q508" t="s">
        <v>28</v>
      </c>
      <c r="R508" t="s">
        <v>547</v>
      </c>
      <c r="S508" t="s">
        <v>46</v>
      </c>
    </row>
    <row r="509" spans="1:19" x14ac:dyDescent="0.35">
      <c r="A509">
        <v>127</v>
      </c>
      <c r="B509" t="s">
        <v>173</v>
      </c>
      <c r="C509" t="s">
        <v>17</v>
      </c>
      <c r="D509" t="s">
        <v>60</v>
      </c>
      <c r="E509" s="9">
        <v>45637</v>
      </c>
      <c r="F509" s="9">
        <v>45645</v>
      </c>
      <c r="G509" s="4" t="str">
        <f>TEXT(Work[[#This Row],[Delivered Date]],"mmm")</f>
        <v>Dec</v>
      </c>
      <c r="H509" s="16">
        <f>MONTH(Work[[#This Row],[Delivered Date]])</f>
        <v>12</v>
      </c>
      <c r="I509" s="1" t="str">
        <f>TEXT(Work[[#This Row],[Delivered Date]],"ddd")</f>
        <v>Thu</v>
      </c>
      <c r="J509" s="4">
        <f>_xlfn.XLOOKUP(Work[[#This Row],[Product Name]],Cost[Product Name],Cost[Cost Percentage],"NA")</f>
        <v>0.65</v>
      </c>
      <c r="K509" s="3">
        <v>36</v>
      </c>
      <c r="L509" s="3">
        <f>Work[[#This Row],[Unit Price]]*Work[[#This Row],[Quantity]]</f>
        <v>324</v>
      </c>
      <c r="M509" s="3">
        <f>Work[[#This Row],[Revenue]]*Work[[#This Row],[cost percentage]]</f>
        <v>210.6</v>
      </c>
      <c r="N509" s="3">
        <f>Work[[#This Row],[Revenue]]-Work[[#This Row],[Cost]]</f>
        <v>113.4</v>
      </c>
      <c r="O509">
        <v>9</v>
      </c>
      <c r="P509" s="6">
        <f>Work[[#This Row],[Delivered Date]]-Work[[#This Row],[Order Date]]</f>
        <v>8</v>
      </c>
      <c r="Q509" t="s">
        <v>14</v>
      </c>
      <c r="R509" t="s">
        <v>33</v>
      </c>
      <c r="S509" t="s">
        <v>46</v>
      </c>
    </row>
    <row r="510" spans="1:19" x14ac:dyDescent="0.35">
      <c r="A510">
        <v>153</v>
      </c>
      <c r="B510" t="s">
        <v>199</v>
      </c>
      <c r="C510" t="s">
        <v>31</v>
      </c>
      <c r="D510" t="s">
        <v>76</v>
      </c>
      <c r="E510" s="9">
        <v>45620</v>
      </c>
      <c r="F510" s="9">
        <v>45628</v>
      </c>
      <c r="G510" s="4" t="str">
        <f>TEXT(Work[[#This Row],[Delivered Date]],"mmm")</f>
        <v>Dec</v>
      </c>
      <c r="H510" s="16">
        <f>MONTH(Work[[#This Row],[Delivered Date]])</f>
        <v>12</v>
      </c>
      <c r="I510" s="1" t="str">
        <f>TEXT(Work[[#This Row],[Delivered Date]],"ddd")</f>
        <v>Mon</v>
      </c>
      <c r="J510" s="4">
        <f>_xlfn.XLOOKUP(Work[[#This Row],[Product Name]],Cost[Product Name],Cost[Cost Percentage],"NA")</f>
        <v>0.75</v>
      </c>
      <c r="K510" s="3">
        <v>905</v>
      </c>
      <c r="L510" s="3">
        <f>Work[[#This Row],[Unit Price]]*Work[[#This Row],[Quantity]]</f>
        <v>7240</v>
      </c>
      <c r="M510" s="3">
        <f>Work[[#This Row],[Revenue]]*Work[[#This Row],[cost percentage]]</f>
        <v>5430</v>
      </c>
      <c r="N510" s="3">
        <f>Work[[#This Row],[Revenue]]-Work[[#This Row],[Cost]]</f>
        <v>1810</v>
      </c>
      <c r="O510">
        <v>8</v>
      </c>
      <c r="P510" s="6">
        <f>Work[[#This Row],[Delivered Date]]-Work[[#This Row],[Order Date]]</f>
        <v>8</v>
      </c>
      <c r="Q510" t="s">
        <v>14</v>
      </c>
      <c r="R510" t="s">
        <v>547</v>
      </c>
      <c r="S510" t="s">
        <v>46</v>
      </c>
    </row>
    <row r="511" spans="1:19" x14ac:dyDescent="0.35">
      <c r="A511">
        <v>161</v>
      </c>
      <c r="B511" t="s">
        <v>207</v>
      </c>
      <c r="C511" t="s">
        <v>31</v>
      </c>
      <c r="D511" t="s">
        <v>42</v>
      </c>
      <c r="E511" s="9">
        <v>45642</v>
      </c>
      <c r="F511" s="9">
        <v>45646</v>
      </c>
      <c r="G511" s="4" t="str">
        <f>TEXT(Work[[#This Row],[Delivered Date]],"mmm")</f>
        <v>Dec</v>
      </c>
      <c r="H511" s="16">
        <f>MONTH(Work[[#This Row],[Delivered Date]])</f>
        <v>12</v>
      </c>
      <c r="I511" s="1" t="str">
        <f>TEXT(Work[[#This Row],[Delivered Date]],"ddd")</f>
        <v>Fri</v>
      </c>
      <c r="J511" s="4">
        <f>_xlfn.XLOOKUP(Work[[#This Row],[Product Name]],Cost[Product Name],Cost[Cost Percentage],"NA")</f>
        <v>0.65</v>
      </c>
      <c r="K511" s="3">
        <v>722</v>
      </c>
      <c r="L511" s="3">
        <f>Work[[#This Row],[Unit Price]]*Work[[#This Row],[Quantity]]</f>
        <v>5776</v>
      </c>
      <c r="M511" s="3">
        <f>Work[[#This Row],[Revenue]]*Work[[#This Row],[cost percentage]]</f>
        <v>3754.4</v>
      </c>
      <c r="N511" s="3">
        <f>Work[[#This Row],[Revenue]]-Work[[#This Row],[Cost]]</f>
        <v>2021.6</v>
      </c>
      <c r="O511">
        <v>8</v>
      </c>
      <c r="P511" s="6">
        <f>Work[[#This Row],[Delivered Date]]-Work[[#This Row],[Order Date]]</f>
        <v>4</v>
      </c>
      <c r="Q511" t="s">
        <v>14</v>
      </c>
      <c r="R511" t="s">
        <v>550</v>
      </c>
      <c r="S511" t="s">
        <v>46</v>
      </c>
    </row>
    <row r="512" spans="1:19" x14ac:dyDescent="0.35">
      <c r="A512">
        <v>186</v>
      </c>
      <c r="B512" t="s">
        <v>232</v>
      </c>
      <c r="C512" t="s">
        <v>24</v>
      </c>
      <c r="D512" t="s">
        <v>25</v>
      </c>
      <c r="E512" s="9">
        <v>45627</v>
      </c>
      <c r="F512" s="9">
        <v>45630</v>
      </c>
      <c r="G512" s="4" t="str">
        <f>TEXT(Work[[#This Row],[Delivered Date]],"mmm")</f>
        <v>Dec</v>
      </c>
      <c r="H512" s="16">
        <f>MONTH(Work[[#This Row],[Delivered Date]])</f>
        <v>12</v>
      </c>
      <c r="I512" s="1" t="str">
        <f>TEXT(Work[[#This Row],[Delivered Date]],"ddd")</f>
        <v>Wed</v>
      </c>
      <c r="J512" s="4">
        <f>_xlfn.XLOOKUP(Work[[#This Row],[Product Name]],Cost[Product Name],Cost[Cost Percentage],"NA")</f>
        <v>0.55000000000000004</v>
      </c>
      <c r="K512" s="3">
        <v>601</v>
      </c>
      <c r="L512" s="3">
        <f>Work[[#This Row],[Unit Price]]*Work[[#This Row],[Quantity]]</f>
        <v>6010</v>
      </c>
      <c r="M512" s="3">
        <f>Work[[#This Row],[Revenue]]*Work[[#This Row],[cost percentage]]</f>
        <v>3305.5000000000005</v>
      </c>
      <c r="N512" s="3">
        <f>Work[[#This Row],[Revenue]]-Work[[#This Row],[Cost]]</f>
        <v>2704.4999999999995</v>
      </c>
      <c r="O512">
        <v>10</v>
      </c>
      <c r="P512" s="6">
        <f>Work[[#This Row],[Delivered Date]]-Work[[#This Row],[Order Date]]</f>
        <v>3</v>
      </c>
      <c r="Q512" t="s">
        <v>28</v>
      </c>
      <c r="R512" t="s">
        <v>551</v>
      </c>
      <c r="S512" t="s">
        <v>15</v>
      </c>
    </row>
    <row r="513" spans="1:19" x14ac:dyDescent="0.35">
      <c r="A513">
        <v>216</v>
      </c>
      <c r="B513" t="s">
        <v>262</v>
      </c>
      <c r="C513" t="s">
        <v>17</v>
      </c>
      <c r="D513" t="s">
        <v>60</v>
      </c>
      <c r="E513" s="9">
        <v>45636</v>
      </c>
      <c r="F513" s="9">
        <v>45645</v>
      </c>
      <c r="G513" s="4" t="str">
        <f>TEXT(Work[[#This Row],[Delivered Date]],"mmm")</f>
        <v>Dec</v>
      </c>
      <c r="H513" s="16">
        <f>MONTH(Work[[#This Row],[Delivered Date]])</f>
        <v>12</v>
      </c>
      <c r="I513" s="1" t="str">
        <f>TEXT(Work[[#This Row],[Delivered Date]],"ddd")</f>
        <v>Thu</v>
      </c>
      <c r="J513" s="4">
        <f>_xlfn.XLOOKUP(Work[[#This Row],[Product Name]],Cost[Product Name],Cost[Cost Percentage],"NA")</f>
        <v>0.65</v>
      </c>
      <c r="K513" s="3">
        <v>252</v>
      </c>
      <c r="L513" s="3">
        <f>Work[[#This Row],[Unit Price]]*Work[[#This Row],[Quantity]]</f>
        <v>1512</v>
      </c>
      <c r="M513" s="3">
        <f>Work[[#This Row],[Revenue]]*Work[[#This Row],[cost percentage]]</f>
        <v>982.80000000000007</v>
      </c>
      <c r="N513" s="3">
        <f>Work[[#This Row],[Revenue]]-Work[[#This Row],[Cost]]</f>
        <v>529.19999999999993</v>
      </c>
      <c r="O513">
        <v>6</v>
      </c>
      <c r="P513" s="6">
        <f>Work[[#This Row],[Delivered Date]]-Work[[#This Row],[Order Date]]</f>
        <v>9</v>
      </c>
      <c r="Q513" t="s">
        <v>28</v>
      </c>
      <c r="R513" t="s">
        <v>547</v>
      </c>
      <c r="S513" t="s">
        <v>29</v>
      </c>
    </row>
    <row r="514" spans="1:19" x14ac:dyDescent="0.35">
      <c r="A514">
        <v>231</v>
      </c>
      <c r="B514" t="s">
        <v>277</v>
      </c>
      <c r="C514" t="s">
        <v>17</v>
      </c>
      <c r="D514" t="s">
        <v>44</v>
      </c>
      <c r="E514" s="9">
        <v>45629</v>
      </c>
      <c r="F514" s="9">
        <v>45638</v>
      </c>
      <c r="G514" s="4" t="str">
        <f>TEXT(Work[[#This Row],[Delivered Date]],"mmm")</f>
        <v>Dec</v>
      </c>
      <c r="H514" s="16">
        <f>MONTH(Work[[#This Row],[Delivered Date]])</f>
        <v>12</v>
      </c>
      <c r="I514" s="1" t="str">
        <f>TEXT(Work[[#This Row],[Delivered Date]],"ddd")</f>
        <v>Thu</v>
      </c>
      <c r="J514" s="4">
        <f>_xlfn.XLOOKUP(Work[[#This Row],[Product Name]],Cost[Product Name],Cost[Cost Percentage],"NA")</f>
        <v>0.6</v>
      </c>
      <c r="K514" s="3">
        <v>26</v>
      </c>
      <c r="L514" s="3">
        <f>Work[[#This Row],[Unit Price]]*Work[[#This Row],[Quantity]]</f>
        <v>208</v>
      </c>
      <c r="M514" s="3">
        <f>Work[[#This Row],[Revenue]]*Work[[#This Row],[cost percentage]]</f>
        <v>124.8</v>
      </c>
      <c r="N514" s="3">
        <f>Work[[#This Row],[Revenue]]-Work[[#This Row],[Cost]]</f>
        <v>83.2</v>
      </c>
      <c r="O514">
        <v>8</v>
      </c>
      <c r="P514" s="6">
        <f>Work[[#This Row],[Delivered Date]]-Work[[#This Row],[Order Date]]</f>
        <v>9</v>
      </c>
      <c r="Q514" t="s">
        <v>28</v>
      </c>
      <c r="R514" t="s">
        <v>551</v>
      </c>
      <c r="S514" t="s">
        <v>29</v>
      </c>
    </row>
    <row r="515" spans="1:19" x14ac:dyDescent="0.35">
      <c r="A515">
        <v>248</v>
      </c>
      <c r="B515" t="s">
        <v>294</v>
      </c>
      <c r="C515" t="s">
        <v>24</v>
      </c>
      <c r="D515" t="s">
        <v>100</v>
      </c>
      <c r="E515" s="9">
        <v>45616</v>
      </c>
      <c r="F515" s="9">
        <v>45638</v>
      </c>
      <c r="G515" s="4" t="str">
        <f>TEXT(Work[[#This Row],[Delivered Date]],"mmm")</f>
        <v>Dec</v>
      </c>
      <c r="H515" s="16">
        <f>MONTH(Work[[#This Row],[Delivered Date]])</f>
        <v>12</v>
      </c>
      <c r="I515" s="1" t="str">
        <f>TEXT(Work[[#This Row],[Delivered Date]],"ddd")</f>
        <v>Thu</v>
      </c>
      <c r="J515" s="4">
        <f>_xlfn.XLOOKUP(Work[[#This Row],[Product Name]],Cost[Product Name],Cost[Cost Percentage],"NA")</f>
        <v>0.6</v>
      </c>
      <c r="K515" s="3">
        <v>257</v>
      </c>
      <c r="L515" s="3">
        <f>Work[[#This Row],[Unit Price]]*Work[[#This Row],[Quantity]]</f>
        <v>1285</v>
      </c>
      <c r="M515" s="3">
        <f>Work[[#This Row],[Revenue]]*Work[[#This Row],[cost percentage]]</f>
        <v>771</v>
      </c>
      <c r="N515" s="3">
        <f>Work[[#This Row],[Revenue]]-Work[[#This Row],[Cost]]</f>
        <v>514</v>
      </c>
      <c r="O515">
        <v>5</v>
      </c>
      <c r="P515" s="6">
        <f>Work[[#This Row],[Delivered Date]]-Work[[#This Row],[Order Date]]</f>
        <v>22</v>
      </c>
      <c r="Q515" t="s">
        <v>28</v>
      </c>
      <c r="R515" t="s">
        <v>547</v>
      </c>
      <c r="S515" t="s">
        <v>46</v>
      </c>
    </row>
    <row r="516" spans="1:19" x14ac:dyDescent="0.35">
      <c r="A516">
        <v>249</v>
      </c>
      <c r="B516" t="s">
        <v>295</v>
      </c>
      <c r="C516" t="s">
        <v>17</v>
      </c>
      <c r="D516" t="s">
        <v>60</v>
      </c>
      <c r="E516" s="9">
        <v>45646</v>
      </c>
      <c r="F516" s="9">
        <v>45654</v>
      </c>
      <c r="G516" s="4" t="str">
        <f>TEXT(Work[[#This Row],[Delivered Date]],"mmm")</f>
        <v>Dec</v>
      </c>
      <c r="H516" s="16">
        <f>MONTH(Work[[#This Row],[Delivered Date]])</f>
        <v>12</v>
      </c>
      <c r="I516" s="1" t="str">
        <f>TEXT(Work[[#This Row],[Delivered Date]],"ddd")</f>
        <v>Sat</v>
      </c>
      <c r="J516" s="4">
        <f>_xlfn.XLOOKUP(Work[[#This Row],[Product Name]],Cost[Product Name],Cost[Cost Percentage],"NA")</f>
        <v>0.65</v>
      </c>
      <c r="K516" s="3">
        <v>566</v>
      </c>
      <c r="L516" s="3">
        <f>Work[[#This Row],[Unit Price]]*Work[[#This Row],[Quantity]]</f>
        <v>3962</v>
      </c>
      <c r="M516" s="3">
        <f>Work[[#This Row],[Revenue]]*Work[[#This Row],[cost percentage]]</f>
        <v>2575.3000000000002</v>
      </c>
      <c r="N516" s="3">
        <f>Work[[#This Row],[Revenue]]-Work[[#This Row],[Cost]]</f>
        <v>1386.6999999999998</v>
      </c>
      <c r="O516">
        <v>7</v>
      </c>
      <c r="P516" s="6">
        <f>Work[[#This Row],[Delivered Date]]-Work[[#This Row],[Order Date]]</f>
        <v>8</v>
      </c>
      <c r="Q516" t="s">
        <v>28</v>
      </c>
      <c r="R516" t="s">
        <v>548</v>
      </c>
      <c r="S516" t="s">
        <v>15</v>
      </c>
    </row>
    <row r="517" spans="1:19" x14ac:dyDescent="0.35">
      <c r="A517">
        <v>250</v>
      </c>
      <c r="B517" t="s">
        <v>296</v>
      </c>
      <c r="C517" t="s">
        <v>17</v>
      </c>
      <c r="D517" t="s">
        <v>60</v>
      </c>
      <c r="E517" s="9">
        <v>45618</v>
      </c>
      <c r="F517" s="9">
        <v>45631</v>
      </c>
      <c r="G517" s="4" t="str">
        <f>TEXT(Work[[#This Row],[Delivered Date]],"mmm")</f>
        <v>Dec</v>
      </c>
      <c r="H517" s="16">
        <f>MONTH(Work[[#This Row],[Delivered Date]])</f>
        <v>12</v>
      </c>
      <c r="I517" s="1" t="str">
        <f>TEXT(Work[[#This Row],[Delivered Date]],"ddd")</f>
        <v>Thu</v>
      </c>
      <c r="J517" s="4">
        <f>_xlfn.XLOOKUP(Work[[#This Row],[Product Name]],Cost[Product Name],Cost[Cost Percentage],"NA")</f>
        <v>0.65</v>
      </c>
      <c r="K517" s="3">
        <v>121</v>
      </c>
      <c r="L517" s="3">
        <f>Work[[#This Row],[Unit Price]]*Work[[#This Row],[Quantity]]</f>
        <v>242</v>
      </c>
      <c r="M517" s="3">
        <f>Work[[#This Row],[Revenue]]*Work[[#This Row],[cost percentage]]</f>
        <v>157.30000000000001</v>
      </c>
      <c r="N517" s="3">
        <f>Work[[#This Row],[Revenue]]-Work[[#This Row],[Cost]]</f>
        <v>84.699999999999989</v>
      </c>
      <c r="O517">
        <v>2</v>
      </c>
      <c r="P517" s="6">
        <f>Work[[#This Row],[Delivered Date]]-Work[[#This Row],[Order Date]]</f>
        <v>13</v>
      </c>
      <c r="Q517" t="s">
        <v>28</v>
      </c>
      <c r="R517" t="s">
        <v>549</v>
      </c>
      <c r="S517" t="s">
        <v>46</v>
      </c>
    </row>
    <row r="518" spans="1:19" x14ac:dyDescent="0.35">
      <c r="A518">
        <v>252</v>
      </c>
      <c r="B518" t="s">
        <v>298</v>
      </c>
      <c r="C518" t="s">
        <v>12</v>
      </c>
      <c r="D518" t="s">
        <v>27</v>
      </c>
      <c r="E518" s="9">
        <v>45648</v>
      </c>
      <c r="F518" s="9">
        <v>45656</v>
      </c>
      <c r="G518" s="4" t="str">
        <f>TEXT(Work[[#This Row],[Delivered Date]],"mmm")</f>
        <v>Dec</v>
      </c>
      <c r="H518" s="16">
        <f>MONTH(Work[[#This Row],[Delivered Date]])</f>
        <v>12</v>
      </c>
      <c r="I518" s="1" t="str">
        <f>TEXT(Work[[#This Row],[Delivered Date]],"ddd")</f>
        <v>Mon</v>
      </c>
      <c r="J518" s="4">
        <f>_xlfn.XLOOKUP(Work[[#This Row],[Product Name]],Cost[Product Name],Cost[Cost Percentage],"NA")</f>
        <v>0.65</v>
      </c>
      <c r="K518" s="3">
        <v>336</v>
      </c>
      <c r="L518" s="3">
        <f>Work[[#This Row],[Unit Price]]*Work[[#This Row],[Quantity]]</f>
        <v>2688</v>
      </c>
      <c r="M518" s="3">
        <f>Work[[#This Row],[Revenue]]*Work[[#This Row],[cost percentage]]</f>
        <v>1747.2</v>
      </c>
      <c r="N518" s="3">
        <f>Work[[#This Row],[Revenue]]-Work[[#This Row],[Cost]]</f>
        <v>940.8</v>
      </c>
      <c r="O518">
        <v>8</v>
      </c>
      <c r="P518" s="6">
        <f>Work[[#This Row],[Delivered Date]]-Work[[#This Row],[Order Date]]</f>
        <v>8</v>
      </c>
      <c r="Q518" t="s">
        <v>14</v>
      </c>
      <c r="R518" t="s">
        <v>548</v>
      </c>
      <c r="S518" t="s">
        <v>19</v>
      </c>
    </row>
    <row r="519" spans="1:19" x14ac:dyDescent="0.35">
      <c r="A519">
        <v>274</v>
      </c>
      <c r="B519" t="s">
        <v>320</v>
      </c>
      <c r="C519" t="s">
        <v>12</v>
      </c>
      <c r="D519" t="s">
        <v>96</v>
      </c>
      <c r="E519" s="9">
        <v>45632</v>
      </c>
      <c r="F519" s="9">
        <v>45639</v>
      </c>
      <c r="G519" s="4" t="str">
        <f>TEXT(Work[[#This Row],[Delivered Date]],"mmm")</f>
        <v>Dec</v>
      </c>
      <c r="H519" s="16">
        <f>MONTH(Work[[#This Row],[Delivered Date]])</f>
        <v>12</v>
      </c>
      <c r="I519" s="1" t="str">
        <f>TEXT(Work[[#This Row],[Delivered Date]],"ddd")</f>
        <v>Fri</v>
      </c>
      <c r="J519" s="4">
        <f>_xlfn.XLOOKUP(Work[[#This Row],[Product Name]],Cost[Product Name],Cost[Cost Percentage],"NA")</f>
        <v>0.7</v>
      </c>
      <c r="K519" s="3">
        <v>63</v>
      </c>
      <c r="L519" s="3">
        <f>Work[[#This Row],[Unit Price]]*Work[[#This Row],[Quantity]]</f>
        <v>189</v>
      </c>
      <c r="M519" s="3">
        <f>Work[[#This Row],[Revenue]]*Work[[#This Row],[cost percentage]]</f>
        <v>132.29999999999998</v>
      </c>
      <c r="N519" s="3">
        <f>Work[[#This Row],[Revenue]]-Work[[#This Row],[Cost]]</f>
        <v>56.700000000000017</v>
      </c>
      <c r="O519">
        <v>3</v>
      </c>
      <c r="P519" s="6">
        <f>Work[[#This Row],[Delivered Date]]-Work[[#This Row],[Order Date]]</f>
        <v>7</v>
      </c>
      <c r="Q519" t="s">
        <v>28</v>
      </c>
      <c r="R519" t="s">
        <v>550</v>
      </c>
      <c r="S519" t="s">
        <v>19</v>
      </c>
    </row>
    <row r="520" spans="1:19" x14ac:dyDescent="0.35">
      <c r="A520">
        <v>275</v>
      </c>
      <c r="B520" t="s">
        <v>321</v>
      </c>
      <c r="C520" t="s">
        <v>21</v>
      </c>
      <c r="D520" t="s">
        <v>22</v>
      </c>
      <c r="E520" s="9">
        <v>45627</v>
      </c>
      <c r="F520" s="9">
        <v>45636</v>
      </c>
      <c r="G520" s="4" t="str">
        <f>TEXT(Work[[#This Row],[Delivered Date]],"mmm")</f>
        <v>Dec</v>
      </c>
      <c r="H520" s="16">
        <f>MONTH(Work[[#This Row],[Delivered Date]])</f>
        <v>12</v>
      </c>
      <c r="I520" s="1" t="str">
        <f>TEXT(Work[[#This Row],[Delivered Date]],"ddd")</f>
        <v>Tue</v>
      </c>
      <c r="J520" s="4">
        <f>_xlfn.XLOOKUP(Work[[#This Row],[Product Name]],Cost[Product Name],Cost[Cost Percentage],"NA")</f>
        <v>0.75</v>
      </c>
      <c r="K520" s="3">
        <v>730</v>
      </c>
      <c r="L520" s="3">
        <f>Work[[#This Row],[Unit Price]]*Work[[#This Row],[Quantity]]</f>
        <v>1460</v>
      </c>
      <c r="M520" s="3">
        <f>Work[[#This Row],[Revenue]]*Work[[#This Row],[cost percentage]]</f>
        <v>1095</v>
      </c>
      <c r="N520" s="3">
        <f>Work[[#This Row],[Revenue]]-Work[[#This Row],[Cost]]</f>
        <v>365</v>
      </c>
      <c r="O520">
        <v>2</v>
      </c>
      <c r="P520" s="6">
        <f>Work[[#This Row],[Delivered Date]]-Work[[#This Row],[Order Date]]</f>
        <v>9</v>
      </c>
      <c r="Q520" t="s">
        <v>14</v>
      </c>
      <c r="R520" t="s">
        <v>548</v>
      </c>
      <c r="S520" t="s">
        <v>19</v>
      </c>
    </row>
    <row r="521" spans="1:19" x14ac:dyDescent="0.35">
      <c r="A521">
        <v>283</v>
      </c>
      <c r="B521" t="s">
        <v>329</v>
      </c>
      <c r="C521" t="s">
        <v>31</v>
      </c>
      <c r="D521" t="s">
        <v>32</v>
      </c>
      <c r="E521" s="9">
        <v>45641</v>
      </c>
      <c r="F521" s="9">
        <v>45646</v>
      </c>
      <c r="G521" s="4" t="str">
        <f>TEXT(Work[[#This Row],[Delivered Date]],"mmm")</f>
        <v>Dec</v>
      </c>
      <c r="H521" s="16">
        <f>MONTH(Work[[#This Row],[Delivered Date]])</f>
        <v>12</v>
      </c>
      <c r="I521" s="1" t="str">
        <f>TEXT(Work[[#This Row],[Delivered Date]],"ddd")</f>
        <v>Fri</v>
      </c>
      <c r="J521" s="4">
        <f>_xlfn.XLOOKUP(Work[[#This Row],[Product Name]],Cost[Product Name],Cost[Cost Percentage],"NA")</f>
        <v>0.75</v>
      </c>
      <c r="K521" s="3">
        <v>791</v>
      </c>
      <c r="L521" s="3">
        <f>Work[[#This Row],[Unit Price]]*Work[[#This Row],[Quantity]]</f>
        <v>2373</v>
      </c>
      <c r="M521" s="3">
        <f>Work[[#This Row],[Revenue]]*Work[[#This Row],[cost percentage]]</f>
        <v>1779.75</v>
      </c>
      <c r="N521" s="3">
        <f>Work[[#This Row],[Revenue]]-Work[[#This Row],[Cost]]</f>
        <v>593.25</v>
      </c>
      <c r="O521">
        <v>3</v>
      </c>
      <c r="P521" s="6">
        <f>Work[[#This Row],[Delivered Date]]-Work[[#This Row],[Order Date]]</f>
        <v>5</v>
      </c>
      <c r="Q521" t="s">
        <v>14</v>
      </c>
      <c r="R521" t="s">
        <v>550</v>
      </c>
      <c r="S521" t="s">
        <v>15</v>
      </c>
    </row>
    <row r="522" spans="1:19" x14ac:dyDescent="0.35">
      <c r="A522">
        <v>296</v>
      </c>
      <c r="B522" t="s">
        <v>342</v>
      </c>
      <c r="C522" t="s">
        <v>12</v>
      </c>
      <c r="D522" t="s">
        <v>58</v>
      </c>
      <c r="E522" s="9">
        <v>45646</v>
      </c>
      <c r="F522" s="9">
        <v>45657</v>
      </c>
      <c r="G522" s="4" t="str">
        <f>TEXT(Work[[#This Row],[Delivered Date]],"mmm")</f>
        <v>Dec</v>
      </c>
      <c r="H522" s="16">
        <f>MONTH(Work[[#This Row],[Delivered Date]])</f>
        <v>12</v>
      </c>
      <c r="I522" s="1" t="str">
        <f>TEXT(Work[[#This Row],[Delivered Date]],"ddd")</f>
        <v>Tue</v>
      </c>
      <c r="J522" s="4">
        <f>_xlfn.XLOOKUP(Work[[#This Row],[Product Name]],Cost[Product Name],Cost[Cost Percentage],"NA")</f>
        <v>0.85</v>
      </c>
      <c r="K522" s="3">
        <v>105</v>
      </c>
      <c r="L522" s="3">
        <f>Work[[#This Row],[Unit Price]]*Work[[#This Row],[Quantity]]</f>
        <v>525</v>
      </c>
      <c r="M522" s="3">
        <f>Work[[#This Row],[Revenue]]*Work[[#This Row],[cost percentage]]</f>
        <v>446.25</v>
      </c>
      <c r="N522" s="3">
        <f>Work[[#This Row],[Revenue]]-Work[[#This Row],[Cost]]</f>
        <v>78.75</v>
      </c>
      <c r="O522">
        <v>5</v>
      </c>
      <c r="P522" s="6">
        <f>Work[[#This Row],[Delivered Date]]-Work[[#This Row],[Order Date]]</f>
        <v>11</v>
      </c>
      <c r="Q522" t="s">
        <v>28</v>
      </c>
      <c r="R522" t="s">
        <v>548</v>
      </c>
      <c r="S522" t="s">
        <v>29</v>
      </c>
    </row>
    <row r="523" spans="1:19" x14ac:dyDescent="0.35">
      <c r="A523">
        <v>301</v>
      </c>
      <c r="B523" t="s">
        <v>347</v>
      </c>
      <c r="C523" t="s">
        <v>17</v>
      </c>
      <c r="D523" t="s">
        <v>18</v>
      </c>
      <c r="E523" s="9">
        <v>45638</v>
      </c>
      <c r="F523" s="9">
        <v>45651</v>
      </c>
      <c r="G523" s="4" t="str">
        <f>TEXT(Work[[#This Row],[Delivered Date]],"mmm")</f>
        <v>Dec</v>
      </c>
      <c r="H523" s="16">
        <f>MONTH(Work[[#This Row],[Delivered Date]])</f>
        <v>12</v>
      </c>
      <c r="I523" s="1" t="str">
        <f>TEXT(Work[[#This Row],[Delivered Date]],"ddd")</f>
        <v>Wed</v>
      </c>
      <c r="J523" s="4">
        <f>_xlfn.XLOOKUP(Work[[#This Row],[Product Name]],Cost[Product Name],Cost[Cost Percentage],"NA")</f>
        <v>0.5</v>
      </c>
      <c r="K523" s="3">
        <v>276</v>
      </c>
      <c r="L523" s="3">
        <f>Work[[#This Row],[Unit Price]]*Work[[#This Row],[Quantity]]</f>
        <v>1380</v>
      </c>
      <c r="M523" s="3">
        <f>Work[[#This Row],[Revenue]]*Work[[#This Row],[cost percentage]]</f>
        <v>690</v>
      </c>
      <c r="N523" s="3">
        <f>Work[[#This Row],[Revenue]]-Work[[#This Row],[Cost]]</f>
        <v>690</v>
      </c>
      <c r="O523">
        <v>5</v>
      </c>
      <c r="P523" s="6">
        <f>Work[[#This Row],[Delivered Date]]-Work[[#This Row],[Order Date]]</f>
        <v>13</v>
      </c>
      <c r="Q523" t="s">
        <v>14</v>
      </c>
      <c r="R523" t="s">
        <v>549</v>
      </c>
      <c r="S523" t="s">
        <v>46</v>
      </c>
    </row>
    <row r="524" spans="1:19" x14ac:dyDescent="0.35">
      <c r="A524">
        <v>315</v>
      </c>
      <c r="B524" t="s">
        <v>361</v>
      </c>
      <c r="C524" t="s">
        <v>31</v>
      </c>
      <c r="D524" t="s">
        <v>42</v>
      </c>
      <c r="E524" s="9">
        <v>45995</v>
      </c>
      <c r="F524" s="9">
        <v>46004</v>
      </c>
      <c r="G524" s="4" t="str">
        <f>TEXT(Work[[#This Row],[Delivered Date]],"mmm")</f>
        <v>Dec</v>
      </c>
      <c r="H524" s="16">
        <f>MONTH(Work[[#This Row],[Delivered Date]])</f>
        <v>12</v>
      </c>
      <c r="I524" s="1" t="str">
        <f>TEXT(Work[[#This Row],[Delivered Date]],"ddd")</f>
        <v>Sat</v>
      </c>
      <c r="J524" s="4">
        <f>_xlfn.XLOOKUP(Work[[#This Row],[Product Name]],Cost[Product Name],Cost[Cost Percentage],"NA")</f>
        <v>0.65</v>
      </c>
      <c r="K524" s="3">
        <v>799</v>
      </c>
      <c r="L524" s="3">
        <f>Work[[#This Row],[Unit Price]]*Work[[#This Row],[Quantity]]</f>
        <v>2397</v>
      </c>
      <c r="M524" s="3">
        <f>Work[[#This Row],[Revenue]]*Work[[#This Row],[cost percentage]]</f>
        <v>1558.05</v>
      </c>
      <c r="N524" s="3">
        <f>Work[[#This Row],[Revenue]]-Work[[#This Row],[Cost]]</f>
        <v>838.95</v>
      </c>
      <c r="O524">
        <v>3</v>
      </c>
      <c r="P524" s="6">
        <f>Work[[#This Row],[Delivered Date]]-Work[[#This Row],[Order Date]]</f>
        <v>9</v>
      </c>
      <c r="Q524" t="s">
        <v>14</v>
      </c>
      <c r="R524" t="s">
        <v>549</v>
      </c>
      <c r="S524" t="s">
        <v>46</v>
      </c>
    </row>
    <row r="525" spans="1:19" x14ac:dyDescent="0.35">
      <c r="A525">
        <v>326</v>
      </c>
      <c r="B525" t="s">
        <v>372</v>
      </c>
      <c r="C525" t="s">
        <v>17</v>
      </c>
      <c r="D525" t="s">
        <v>44</v>
      </c>
      <c r="E525" s="9">
        <v>46008</v>
      </c>
      <c r="F525" s="9">
        <v>46017</v>
      </c>
      <c r="G525" s="4" t="str">
        <f>TEXT(Work[[#This Row],[Delivered Date]],"mmm")</f>
        <v>Dec</v>
      </c>
      <c r="H525" s="16">
        <f>MONTH(Work[[#This Row],[Delivered Date]])</f>
        <v>12</v>
      </c>
      <c r="I525" s="1" t="str">
        <f>TEXT(Work[[#This Row],[Delivered Date]],"ddd")</f>
        <v>Fri</v>
      </c>
      <c r="J525" s="4">
        <f>_xlfn.XLOOKUP(Work[[#This Row],[Product Name]],Cost[Product Name],Cost[Cost Percentage],"NA")</f>
        <v>0.6</v>
      </c>
      <c r="K525" s="3">
        <v>868</v>
      </c>
      <c r="L525" s="3">
        <f>Work[[#This Row],[Unit Price]]*Work[[#This Row],[Quantity]]</f>
        <v>2604</v>
      </c>
      <c r="M525" s="3">
        <f>Work[[#This Row],[Revenue]]*Work[[#This Row],[cost percentage]]</f>
        <v>1562.3999999999999</v>
      </c>
      <c r="N525" s="3">
        <f>Work[[#This Row],[Revenue]]-Work[[#This Row],[Cost]]</f>
        <v>1041.6000000000001</v>
      </c>
      <c r="O525">
        <v>3</v>
      </c>
      <c r="P525" s="6">
        <f>Work[[#This Row],[Delivered Date]]-Work[[#This Row],[Order Date]]</f>
        <v>9</v>
      </c>
      <c r="Q525" t="s">
        <v>14</v>
      </c>
      <c r="R525" t="s">
        <v>549</v>
      </c>
      <c r="S525" t="s">
        <v>19</v>
      </c>
    </row>
    <row r="526" spans="1:19" x14ac:dyDescent="0.35">
      <c r="A526">
        <v>327</v>
      </c>
      <c r="B526" t="s">
        <v>373</v>
      </c>
      <c r="C526" t="s">
        <v>21</v>
      </c>
      <c r="D526" t="s">
        <v>83</v>
      </c>
      <c r="E526" s="9">
        <v>46007</v>
      </c>
      <c r="F526" s="9">
        <v>46018</v>
      </c>
      <c r="G526" s="4" t="str">
        <f>TEXT(Work[[#This Row],[Delivered Date]],"mmm")</f>
        <v>Dec</v>
      </c>
      <c r="H526" s="16">
        <f>MONTH(Work[[#This Row],[Delivered Date]])</f>
        <v>12</v>
      </c>
      <c r="I526" s="1" t="str">
        <f>TEXT(Work[[#This Row],[Delivered Date]],"ddd")</f>
        <v>Sat</v>
      </c>
      <c r="J526" s="4">
        <f>_xlfn.XLOOKUP(Work[[#This Row],[Product Name]],Cost[Product Name],Cost[Cost Percentage],"NA")</f>
        <v>0.8</v>
      </c>
      <c r="K526" s="3">
        <v>130</v>
      </c>
      <c r="L526" s="3">
        <f>Work[[#This Row],[Unit Price]]*Work[[#This Row],[Quantity]]</f>
        <v>130</v>
      </c>
      <c r="M526" s="3">
        <f>Work[[#This Row],[Revenue]]*Work[[#This Row],[cost percentage]]</f>
        <v>104</v>
      </c>
      <c r="N526" s="3">
        <f>Work[[#This Row],[Revenue]]-Work[[#This Row],[Cost]]</f>
        <v>26</v>
      </c>
      <c r="O526">
        <v>1</v>
      </c>
      <c r="P526" s="6">
        <f>Work[[#This Row],[Delivered Date]]-Work[[#This Row],[Order Date]]</f>
        <v>11</v>
      </c>
      <c r="Q526" t="s">
        <v>28</v>
      </c>
      <c r="R526" t="s">
        <v>551</v>
      </c>
      <c r="S526" t="s">
        <v>15</v>
      </c>
    </row>
    <row r="527" spans="1:19" x14ac:dyDescent="0.35">
      <c r="A527">
        <v>328</v>
      </c>
      <c r="B527" t="s">
        <v>374</v>
      </c>
      <c r="C527" t="s">
        <v>21</v>
      </c>
      <c r="D527" t="s">
        <v>40</v>
      </c>
      <c r="E527" s="9">
        <v>46004</v>
      </c>
      <c r="F527" s="9">
        <v>46019</v>
      </c>
      <c r="G527" s="4" t="str">
        <f>TEXT(Work[[#This Row],[Delivered Date]],"mmm")</f>
        <v>Dec</v>
      </c>
      <c r="H527" s="16">
        <f>MONTH(Work[[#This Row],[Delivered Date]])</f>
        <v>12</v>
      </c>
      <c r="I527" s="1" t="str">
        <f>TEXT(Work[[#This Row],[Delivered Date]],"ddd")</f>
        <v>Sun</v>
      </c>
      <c r="J527" s="4">
        <f>_xlfn.XLOOKUP(Work[[#This Row],[Product Name]],Cost[Product Name],Cost[Cost Percentage],"NA")</f>
        <v>0.65</v>
      </c>
      <c r="K527" s="3">
        <v>744</v>
      </c>
      <c r="L527" s="3">
        <f>Work[[#This Row],[Unit Price]]*Work[[#This Row],[Quantity]]</f>
        <v>2232</v>
      </c>
      <c r="M527" s="3">
        <f>Work[[#This Row],[Revenue]]*Work[[#This Row],[cost percentage]]</f>
        <v>1450.8</v>
      </c>
      <c r="N527" s="3">
        <f>Work[[#This Row],[Revenue]]-Work[[#This Row],[Cost]]</f>
        <v>781.2</v>
      </c>
      <c r="O527">
        <v>3</v>
      </c>
      <c r="P527" s="6">
        <f>Work[[#This Row],[Delivered Date]]-Work[[#This Row],[Order Date]]</f>
        <v>15</v>
      </c>
      <c r="Q527" t="s">
        <v>28</v>
      </c>
      <c r="R527" t="s">
        <v>547</v>
      </c>
      <c r="S527" t="s">
        <v>46</v>
      </c>
    </row>
    <row r="528" spans="1:19" x14ac:dyDescent="0.35">
      <c r="A528">
        <v>331</v>
      </c>
      <c r="B528" t="s">
        <v>377</v>
      </c>
      <c r="C528" t="s">
        <v>21</v>
      </c>
      <c r="D528" t="s">
        <v>40</v>
      </c>
      <c r="E528" s="9">
        <v>46003</v>
      </c>
      <c r="F528" s="9">
        <v>46004</v>
      </c>
      <c r="G528" s="4" t="str">
        <f>TEXT(Work[[#This Row],[Delivered Date]],"mmm")</f>
        <v>Dec</v>
      </c>
      <c r="H528" s="16">
        <f>MONTH(Work[[#This Row],[Delivered Date]])</f>
        <v>12</v>
      </c>
      <c r="I528" s="1" t="str">
        <f>TEXT(Work[[#This Row],[Delivered Date]],"ddd")</f>
        <v>Sat</v>
      </c>
      <c r="J528" s="4">
        <f>_xlfn.XLOOKUP(Work[[#This Row],[Product Name]],Cost[Product Name],Cost[Cost Percentage],"NA")</f>
        <v>0.65</v>
      </c>
      <c r="K528" s="3">
        <v>465</v>
      </c>
      <c r="L528" s="3">
        <f>Work[[#This Row],[Unit Price]]*Work[[#This Row],[Quantity]]</f>
        <v>2325</v>
      </c>
      <c r="M528" s="3">
        <f>Work[[#This Row],[Revenue]]*Work[[#This Row],[cost percentage]]</f>
        <v>1511.25</v>
      </c>
      <c r="N528" s="3">
        <f>Work[[#This Row],[Revenue]]-Work[[#This Row],[Cost]]</f>
        <v>813.75</v>
      </c>
      <c r="O528">
        <v>5</v>
      </c>
      <c r="P528" s="6">
        <f>Work[[#This Row],[Delivered Date]]-Work[[#This Row],[Order Date]]</f>
        <v>1</v>
      </c>
      <c r="Q528" t="s">
        <v>14</v>
      </c>
      <c r="R528" t="s">
        <v>33</v>
      </c>
      <c r="S528" t="s">
        <v>15</v>
      </c>
    </row>
    <row r="529" spans="1:19" x14ac:dyDescent="0.35">
      <c r="A529">
        <v>337</v>
      </c>
      <c r="B529" t="s">
        <v>383</v>
      </c>
      <c r="C529" t="s">
        <v>17</v>
      </c>
      <c r="D529" t="s">
        <v>56</v>
      </c>
      <c r="E529" s="9">
        <v>46000</v>
      </c>
      <c r="F529" s="9">
        <v>46001</v>
      </c>
      <c r="G529" s="4" t="str">
        <f>TEXT(Work[[#This Row],[Delivered Date]],"mmm")</f>
        <v>Dec</v>
      </c>
      <c r="H529" s="16">
        <f>MONTH(Work[[#This Row],[Delivered Date]])</f>
        <v>12</v>
      </c>
      <c r="I529" s="1" t="str">
        <f>TEXT(Work[[#This Row],[Delivered Date]],"ddd")</f>
        <v>Wed</v>
      </c>
      <c r="J529" s="4">
        <f>_xlfn.XLOOKUP(Work[[#This Row],[Product Name]],Cost[Product Name],Cost[Cost Percentage],"NA")</f>
        <v>0.55000000000000004</v>
      </c>
      <c r="K529" s="3">
        <v>630</v>
      </c>
      <c r="L529" s="3">
        <f>Work[[#This Row],[Unit Price]]*Work[[#This Row],[Quantity]]</f>
        <v>3150</v>
      </c>
      <c r="M529" s="3">
        <f>Work[[#This Row],[Revenue]]*Work[[#This Row],[cost percentage]]</f>
        <v>1732.5000000000002</v>
      </c>
      <c r="N529" s="3">
        <f>Work[[#This Row],[Revenue]]-Work[[#This Row],[Cost]]</f>
        <v>1417.4999999999998</v>
      </c>
      <c r="O529">
        <v>5</v>
      </c>
      <c r="P529" s="6">
        <f>Work[[#This Row],[Delivered Date]]-Work[[#This Row],[Order Date]]</f>
        <v>1</v>
      </c>
      <c r="Q529" t="s">
        <v>14</v>
      </c>
      <c r="R529" t="s">
        <v>551</v>
      </c>
      <c r="S529" t="s">
        <v>46</v>
      </c>
    </row>
    <row r="530" spans="1:19" x14ac:dyDescent="0.35">
      <c r="A530">
        <v>340</v>
      </c>
      <c r="B530" t="s">
        <v>386</v>
      </c>
      <c r="C530" t="s">
        <v>24</v>
      </c>
      <c r="D530" t="s">
        <v>38</v>
      </c>
      <c r="E530" s="9">
        <v>45988</v>
      </c>
      <c r="F530" s="9">
        <v>45994</v>
      </c>
      <c r="G530" s="4" t="str">
        <f>TEXT(Work[[#This Row],[Delivered Date]],"mmm")</f>
        <v>Dec</v>
      </c>
      <c r="H530" s="16">
        <f>MONTH(Work[[#This Row],[Delivered Date]])</f>
        <v>12</v>
      </c>
      <c r="I530" s="1" t="str">
        <f>TEXT(Work[[#This Row],[Delivered Date]],"ddd")</f>
        <v>Wed</v>
      </c>
      <c r="J530" s="4">
        <f>_xlfn.XLOOKUP(Work[[#This Row],[Product Name]],Cost[Product Name],Cost[Cost Percentage],"NA")</f>
        <v>0.5</v>
      </c>
      <c r="K530" s="3">
        <v>185</v>
      </c>
      <c r="L530" s="3">
        <f>Work[[#This Row],[Unit Price]]*Work[[#This Row],[Quantity]]</f>
        <v>1665</v>
      </c>
      <c r="M530" s="3">
        <f>Work[[#This Row],[Revenue]]*Work[[#This Row],[cost percentage]]</f>
        <v>832.5</v>
      </c>
      <c r="N530" s="3">
        <f>Work[[#This Row],[Revenue]]-Work[[#This Row],[Cost]]</f>
        <v>832.5</v>
      </c>
      <c r="O530">
        <v>9</v>
      </c>
      <c r="P530" s="6">
        <f>Work[[#This Row],[Delivered Date]]-Work[[#This Row],[Order Date]]</f>
        <v>6</v>
      </c>
      <c r="Q530" t="s">
        <v>28</v>
      </c>
      <c r="R530" t="s">
        <v>551</v>
      </c>
      <c r="S530" t="s">
        <v>15</v>
      </c>
    </row>
    <row r="531" spans="1:19" x14ac:dyDescent="0.35">
      <c r="A531">
        <v>350</v>
      </c>
      <c r="B531" t="s">
        <v>396</v>
      </c>
      <c r="C531" t="s">
        <v>21</v>
      </c>
      <c r="D531" t="s">
        <v>83</v>
      </c>
      <c r="E531" s="9">
        <v>46011</v>
      </c>
      <c r="F531" s="9">
        <v>46013</v>
      </c>
      <c r="G531" s="4" t="str">
        <f>TEXT(Work[[#This Row],[Delivered Date]],"mmm")</f>
        <v>Dec</v>
      </c>
      <c r="H531" s="16">
        <f>MONTH(Work[[#This Row],[Delivered Date]])</f>
        <v>12</v>
      </c>
      <c r="I531" s="1" t="str">
        <f>TEXT(Work[[#This Row],[Delivered Date]],"ddd")</f>
        <v>Mon</v>
      </c>
      <c r="J531" s="4">
        <f>_xlfn.XLOOKUP(Work[[#This Row],[Product Name]],Cost[Product Name],Cost[Cost Percentage],"NA")</f>
        <v>0.8</v>
      </c>
      <c r="K531" s="3">
        <v>375</v>
      </c>
      <c r="L531" s="3">
        <f>Work[[#This Row],[Unit Price]]*Work[[#This Row],[Quantity]]</f>
        <v>1125</v>
      </c>
      <c r="M531" s="3">
        <f>Work[[#This Row],[Revenue]]*Work[[#This Row],[cost percentage]]</f>
        <v>900</v>
      </c>
      <c r="N531" s="3">
        <f>Work[[#This Row],[Revenue]]-Work[[#This Row],[Cost]]</f>
        <v>225</v>
      </c>
      <c r="O531">
        <v>3</v>
      </c>
      <c r="P531" s="6">
        <f>Work[[#This Row],[Delivered Date]]-Work[[#This Row],[Order Date]]</f>
        <v>2</v>
      </c>
      <c r="Q531" t="s">
        <v>28</v>
      </c>
      <c r="R531" t="s">
        <v>547</v>
      </c>
      <c r="S531" t="s">
        <v>29</v>
      </c>
    </row>
    <row r="532" spans="1:19" x14ac:dyDescent="0.35">
      <c r="A532">
        <v>365</v>
      </c>
      <c r="B532" t="s">
        <v>411</v>
      </c>
      <c r="C532" t="s">
        <v>21</v>
      </c>
      <c r="D532" t="s">
        <v>83</v>
      </c>
      <c r="E532" s="9">
        <v>46007</v>
      </c>
      <c r="F532" s="9">
        <v>46022</v>
      </c>
      <c r="G532" s="4" t="str">
        <f>TEXT(Work[[#This Row],[Delivered Date]],"mmm")</f>
        <v>Dec</v>
      </c>
      <c r="H532" s="16">
        <f>MONTH(Work[[#This Row],[Delivered Date]])</f>
        <v>12</v>
      </c>
      <c r="I532" s="1" t="str">
        <f>TEXT(Work[[#This Row],[Delivered Date]],"ddd")</f>
        <v>Wed</v>
      </c>
      <c r="J532" s="4">
        <f>_xlfn.XLOOKUP(Work[[#This Row],[Product Name]],Cost[Product Name],Cost[Cost Percentage],"NA")</f>
        <v>0.8</v>
      </c>
      <c r="K532" s="3">
        <v>179</v>
      </c>
      <c r="L532" s="3">
        <f>Work[[#This Row],[Unit Price]]*Work[[#This Row],[Quantity]]</f>
        <v>1432</v>
      </c>
      <c r="M532" s="3">
        <f>Work[[#This Row],[Revenue]]*Work[[#This Row],[cost percentage]]</f>
        <v>1145.6000000000001</v>
      </c>
      <c r="N532" s="3">
        <f>Work[[#This Row],[Revenue]]-Work[[#This Row],[Cost]]</f>
        <v>286.39999999999986</v>
      </c>
      <c r="O532">
        <v>8</v>
      </c>
      <c r="P532" s="6">
        <f>Work[[#This Row],[Delivered Date]]-Work[[#This Row],[Order Date]]</f>
        <v>15</v>
      </c>
      <c r="Q532" t="s">
        <v>28</v>
      </c>
      <c r="R532" t="s">
        <v>33</v>
      </c>
      <c r="S532" t="s">
        <v>29</v>
      </c>
    </row>
    <row r="533" spans="1:19" x14ac:dyDescent="0.35">
      <c r="A533">
        <v>372</v>
      </c>
      <c r="B533" t="s">
        <v>418</v>
      </c>
      <c r="C533" t="s">
        <v>12</v>
      </c>
      <c r="D533" t="s">
        <v>13</v>
      </c>
      <c r="E533" s="9">
        <v>46003</v>
      </c>
      <c r="F533" s="9">
        <v>46014</v>
      </c>
      <c r="G533" s="4" t="str">
        <f>TEXT(Work[[#This Row],[Delivered Date]],"mmm")</f>
        <v>Dec</v>
      </c>
      <c r="H533" s="16">
        <f>MONTH(Work[[#This Row],[Delivered Date]])</f>
        <v>12</v>
      </c>
      <c r="I533" s="1" t="str">
        <f>TEXT(Work[[#This Row],[Delivered Date]],"ddd")</f>
        <v>Tue</v>
      </c>
      <c r="J533" s="4">
        <f>_xlfn.XLOOKUP(Work[[#This Row],[Product Name]],Cost[Product Name],Cost[Cost Percentage],"NA")</f>
        <v>0.75</v>
      </c>
      <c r="K533" s="3">
        <v>647</v>
      </c>
      <c r="L533" s="3">
        <f>Work[[#This Row],[Unit Price]]*Work[[#This Row],[Quantity]]</f>
        <v>5823</v>
      </c>
      <c r="M533" s="3">
        <f>Work[[#This Row],[Revenue]]*Work[[#This Row],[cost percentage]]</f>
        <v>4367.25</v>
      </c>
      <c r="N533" s="3">
        <f>Work[[#This Row],[Revenue]]-Work[[#This Row],[Cost]]</f>
        <v>1455.75</v>
      </c>
      <c r="O533">
        <v>9</v>
      </c>
      <c r="P533" s="6">
        <f>Work[[#This Row],[Delivered Date]]-Work[[#This Row],[Order Date]]</f>
        <v>11</v>
      </c>
      <c r="Q533" t="s">
        <v>14</v>
      </c>
      <c r="R533" t="s">
        <v>549</v>
      </c>
      <c r="S533" t="s">
        <v>29</v>
      </c>
    </row>
    <row r="534" spans="1:19" x14ac:dyDescent="0.35">
      <c r="A534">
        <v>381</v>
      </c>
      <c r="B534" t="s">
        <v>427</v>
      </c>
      <c r="C534" t="s">
        <v>31</v>
      </c>
      <c r="D534" t="s">
        <v>76</v>
      </c>
      <c r="E534" s="9">
        <v>45989</v>
      </c>
      <c r="F534" s="9">
        <v>45993</v>
      </c>
      <c r="G534" s="4" t="str">
        <f>TEXT(Work[[#This Row],[Delivered Date]],"mmm")</f>
        <v>Dec</v>
      </c>
      <c r="H534" s="16">
        <f>MONTH(Work[[#This Row],[Delivered Date]])</f>
        <v>12</v>
      </c>
      <c r="I534" s="1" t="str">
        <f>TEXT(Work[[#This Row],[Delivered Date]],"ddd")</f>
        <v>Tue</v>
      </c>
      <c r="J534" s="4">
        <f>_xlfn.XLOOKUP(Work[[#This Row],[Product Name]],Cost[Product Name],Cost[Cost Percentage],"NA")</f>
        <v>0.75</v>
      </c>
      <c r="K534" s="3">
        <v>346</v>
      </c>
      <c r="L534" s="3">
        <f>Work[[#This Row],[Unit Price]]*Work[[#This Row],[Quantity]]</f>
        <v>1384</v>
      </c>
      <c r="M534" s="3">
        <f>Work[[#This Row],[Revenue]]*Work[[#This Row],[cost percentage]]</f>
        <v>1038</v>
      </c>
      <c r="N534" s="3">
        <f>Work[[#This Row],[Revenue]]-Work[[#This Row],[Cost]]</f>
        <v>346</v>
      </c>
      <c r="O534">
        <v>4</v>
      </c>
      <c r="P534" s="6">
        <f>Work[[#This Row],[Delivered Date]]-Work[[#This Row],[Order Date]]</f>
        <v>4</v>
      </c>
      <c r="Q534" t="s">
        <v>28</v>
      </c>
      <c r="R534" t="s">
        <v>551</v>
      </c>
      <c r="S534" t="s">
        <v>29</v>
      </c>
    </row>
    <row r="535" spans="1:19" x14ac:dyDescent="0.35">
      <c r="A535">
        <v>385</v>
      </c>
      <c r="B535" t="s">
        <v>431</v>
      </c>
      <c r="C535" t="s">
        <v>24</v>
      </c>
      <c r="D535" t="s">
        <v>25</v>
      </c>
      <c r="E535" s="9">
        <v>45988</v>
      </c>
      <c r="F535" s="9">
        <v>45997</v>
      </c>
      <c r="G535" s="4" t="str">
        <f>TEXT(Work[[#This Row],[Delivered Date]],"mmm")</f>
        <v>Dec</v>
      </c>
      <c r="H535" s="16">
        <f>MONTH(Work[[#This Row],[Delivered Date]])</f>
        <v>12</v>
      </c>
      <c r="I535" s="1" t="str">
        <f>TEXT(Work[[#This Row],[Delivered Date]],"ddd")</f>
        <v>Sat</v>
      </c>
      <c r="J535" s="4">
        <f>_xlfn.XLOOKUP(Work[[#This Row],[Product Name]],Cost[Product Name],Cost[Cost Percentage],"NA")</f>
        <v>0.55000000000000004</v>
      </c>
      <c r="K535" s="3">
        <v>579</v>
      </c>
      <c r="L535" s="3">
        <f>Work[[#This Row],[Unit Price]]*Work[[#This Row],[Quantity]]</f>
        <v>4053</v>
      </c>
      <c r="M535" s="3">
        <f>Work[[#This Row],[Revenue]]*Work[[#This Row],[cost percentage]]</f>
        <v>2229.15</v>
      </c>
      <c r="N535" s="3">
        <f>Work[[#This Row],[Revenue]]-Work[[#This Row],[Cost]]</f>
        <v>1823.85</v>
      </c>
      <c r="O535">
        <v>7</v>
      </c>
      <c r="P535" s="6">
        <f>Work[[#This Row],[Delivered Date]]-Work[[#This Row],[Order Date]]</f>
        <v>9</v>
      </c>
      <c r="Q535" t="s">
        <v>14</v>
      </c>
      <c r="R535" t="s">
        <v>551</v>
      </c>
      <c r="S535" t="s">
        <v>46</v>
      </c>
    </row>
    <row r="536" spans="1:19" x14ac:dyDescent="0.35">
      <c r="A536">
        <v>391</v>
      </c>
      <c r="B536" t="s">
        <v>437</v>
      </c>
      <c r="C536" t="s">
        <v>17</v>
      </c>
      <c r="D536" t="s">
        <v>44</v>
      </c>
      <c r="E536" s="9">
        <v>46019</v>
      </c>
      <c r="F536" s="9">
        <v>46021</v>
      </c>
      <c r="G536" s="4" t="str">
        <f>TEXT(Work[[#This Row],[Delivered Date]],"mmm")</f>
        <v>Dec</v>
      </c>
      <c r="H536" s="16">
        <f>MONTH(Work[[#This Row],[Delivered Date]])</f>
        <v>12</v>
      </c>
      <c r="I536" s="1" t="str">
        <f>TEXT(Work[[#This Row],[Delivered Date]],"ddd")</f>
        <v>Tue</v>
      </c>
      <c r="J536" s="4">
        <f>_xlfn.XLOOKUP(Work[[#This Row],[Product Name]],Cost[Product Name],Cost[Cost Percentage],"NA")</f>
        <v>0.6</v>
      </c>
      <c r="K536" s="3">
        <v>455</v>
      </c>
      <c r="L536" s="3">
        <f>Work[[#This Row],[Unit Price]]*Work[[#This Row],[Quantity]]</f>
        <v>4095</v>
      </c>
      <c r="M536" s="3">
        <f>Work[[#This Row],[Revenue]]*Work[[#This Row],[cost percentage]]</f>
        <v>2457</v>
      </c>
      <c r="N536" s="3">
        <f>Work[[#This Row],[Revenue]]-Work[[#This Row],[Cost]]</f>
        <v>1638</v>
      </c>
      <c r="O536">
        <v>9</v>
      </c>
      <c r="P536" s="6">
        <f>Work[[#This Row],[Delivered Date]]-Work[[#This Row],[Order Date]]</f>
        <v>2</v>
      </c>
      <c r="Q536" t="s">
        <v>14</v>
      </c>
      <c r="R536" t="s">
        <v>547</v>
      </c>
      <c r="S536" t="s">
        <v>29</v>
      </c>
    </row>
    <row r="537" spans="1:19" x14ac:dyDescent="0.35">
      <c r="A537">
        <v>425</v>
      </c>
      <c r="B537" t="s">
        <v>471</v>
      </c>
      <c r="C537" t="s">
        <v>17</v>
      </c>
      <c r="D537" t="s">
        <v>64</v>
      </c>
      <c r="E537" s="9">
        <v>46013</v>
      </c>
      <c r="F537" s="9">
        <v>46022</v>
      </c>
      <c r="G537" s="4" t="str">
        <f>TEXT(Work[[#This Row],[Delivered Date]],"mmm")</f>
        <v>Dec</v>
      </c>
      <c r="H537" s="16">
        <f>MONTH(Work[[#This Row],[Delivered Date]])</f>
        <v>12</v>
      </c>
      <c r="I537" s="1" t="str">
        <f>TEXT(Work[[#This Row],[Delivered Date]],"ddd")</f>
        <v>Wed</v>
      </c>
      <c r="J537" s="4">
        <f>_xlfn.XLOOKUP(Work[[#This Row],[Product Name]],Cost[Product Name],Cost[Cost Percentage],"NA")</f>
        <v>0.5</v>
      </c>
      <c r="K537" s="3">
        <v>953</v>
      </c>
      <c r="L537" s="3">
        <f>Work[[#This Row],[Unit Price]]*Work[[#This Row],[Quantity]]</f>
        <v>7624</v>
      </c>
      <c r="M537" s="3">
        <f>Work[[#This Row],[Revenue]]*Work[[#This Row],[cost percentage]]</f>
        <v>3812</v>
      </c>
      <c r="N537" s="3">
        <f>Work[[#This Row],[Revenue]]-Work[[#This Row],[Cost]]</f>
        <v>3812</v>
      </c>
      <c r="O537">
        <v>8</v>
      </c>
      <c r="P537" s="6">
        <f>Work[[#This Row],[Delivered Date]]-Work[[#This Row],[Order Date]]</f>
        <v>9</v>
      </c>
      <c r="Q537" t="s">
        <v>14</v>
      </c>
      <c r="R537" t="s">
        <v>549</v>
      </c>
      <c r="S537" t="s">
        <v>29</v>
      </c>
    </row>
    <row r="538" spans="1:19" x14ac:dyDescent="0.35">
      <c r="A538">
        <v>429</v>
      </c>
      <c r="B538" t="s">
        <v>475</v>
      </c>
      <c r="C538" t="s">
        <v>21</v>
      </c>
      <c r="D538" t="s">
        <v>83</v>
      </c>
      <c r="E538" s="9">
        <v>46011</v>
      </c>
      <c r="F538" s="9">
        <v>46021</v>
      </c>
      <c r="G538" s="4" t="str">
        <f>TEXT(Work[[#This Row],[Delivered Date]],"mmm")</f>
        <v>Dec</v>
      </c>
      <c r="H538" s="16">
        <f>MONTH(Work[[#This Row],[Delivered Date]])</f>
        <v>12</v>
      </c>
      <c r="I538" s="1" t="str">
        <f>TEXT(Work[[#This Row],[Delivered Date]],"ddd")</f>
        <v>Tue</v>
      </c>
      <c r="J538" s="4">
        <f>_xlfn.XLOOKUP(Work[[#This Row],[Product Name]],Cost[Product Name],Cost[Cost Percentage],"NA")</f>
        <v>0.8</v>
      </c>
      <c r="K538" s="3">
        <v>308</v>
      </c>
      <c r="L538" s="3">
        <f>Work[[#This Row],[Unit Price]]*Work[[#This Row],[Quantity]]</f>
        <v>3080</v>
      </c>
      <c r="M538" s="3">
        <f>Work[[#This Row],[Revenue]]*Work[[#This Row],[cost percentage]]</f>
        <v>2464</v>
      </c>
      <c r="N538" s="3">
        <f>Work[[#This Row],[Revenue]]-Work[[#This Row],[Cost]]</f>
        <v>616</v>
      </c>
      <c r="O538">
        <v>10</v>
      </c>
      <c r="P538" s="6">
        <f>Work[[#This Row],[Delivered Date]]-Work[[#This Row],[Order Date]]</f>
        <v>10</v>
      </c>
      <c r="Q538" t="s">
        <v>28</v>
      </c>
      <c r="R538" t="s">
        <v>551</v>
      </c>
      <c r="S538" t="s">
        <v>46</v>
      </c>
    </row>
    <row r="539" spans="1:19" x14ac:dyDescent="0.35">
      <c r="A539">
        <v>430</v>
      </c>
      <c r="B539" t="s">
        <v>476</v>
      </c>
      <c r="C539" t="s">
        <v>21</v>
      </c>
      <c r="D539" t="s">
        <v>22</v>
      </c>
      <c r="E539" s="9">
        <v>46007</v>
      </c>
      <c r="F539" s="9">
        <v>46020</v>
      </c>
      <c r="G539" s="4" t="str">
        <f>TEXT(Work[[#This Row],[Delivered Date]],"mmm")</f>
        <v>Dec</v>
      </c>
      <c r="H539" s="16">
        <f>MONTH(Work[[#This Row],[Delivered Date]])</f>
        <v>12</v>
      </c>
      <c r="I539" s="1" t="str">
        <f>TEXT(Work[[#This Row],[Delivered Date]],"ddd")</f>
        <v>Mon</v>
      </c>
      <c r="J539" s="4">
        <f>_xlfn.XLOOKUP(Work[[#This Row],[Product Name]],Cost[Product Name],Cost[Cost Percentage],"NA")</f>
        <v>0.75</v>
      </c>
      <c r="K539" s="3">
        <v>259</v>
      </c>
      <c r="L539" s="3">
        <f>Work[[#This Row],[Unit Price]]*Work[[#This Row],[Quantity]]</f>
        <v>2072</v>
      </c>
      <c r="M539" s="3">
        <f>Work[[#This Row],[Revenue]]*Work[[#This Row],[cost percentage]]</f>
        <v>1554</v>
      </c>
      <c r="N539" s="3">
        <f>Work[[#This Row],[Revenue]]-Work[[#This Row],[Cost]]</f>
        <v>518</v>
      </c>
      <c r="O539">
        <v>8</v>
      </c>
      <c r="P539" s="6">
        <f>Work[[#This Row],[Delivered Date]]-Work[[#This Row],[Order Date]]</f>
        <v>13</v>
      </c>
      <c r="Q539" t="s">
        <v>28</v>
      </c>
      <c r="R539" t="s">
        <v>549</v>
      </c>
      <c r="S539" t="s">
        <v>29</v>
      </c>
    </row>
    <row r="540" spans="1:19" x14ac:dyDescent="0.35">
      <c r="A540">
        <v>435</v>
      </c>
      <c r="B540" t="s">
        <v>481</v>
      </c>
      <c r="C540" t="s">
        <v>21</v>
      </c>
      <c r="D540" t="s">
        <v>83</v>
      </c>
      <c r="E540" s="9">
        <v>45992</v>
      </c>
      <c r="F540" s="9">
        <v>46002</v>
      </c>
      <c r="G540" s="4" t="str">
        <f>TEXT(Work[[#This Row],[Delivered Date]],"mmm")</f>
        <v>Dec</v>
      </c>
      <c r="H540" s="16">
        <f>MONTH(Work[[#This Row],[Delivered Date]])</f>
        <v>12</v>
      </c>
      <c r="I540" s="1" t="str">
        <f>TEXT(Work[[#This Row],[Delivered Date]],"ddd")</f>
        <v>Thu</v>
      </c>
      <c r="J540" s="4">
        <f>_xlfn.XLOOKUP(Work[[#This Row],[Product Name]],Cost[Product Name],Cost[Cost Percentage],"NA")</f>
        <v>0.8</v>
      </c>
      <c r="K540" s="3">
        <v>752</v>
      </c>
      <c r="L540" s="3">
        <f>Work[[#This Row],[Unit Price]]*Work[[#This Row],[Quantity]]</f>
        <v>7520</v>
      </c>
      <c r="M540" s="3">
        <f>Work[[#This Row],[Revenue]]*Work[[#This Row],[cost percentage]]</f>
        <v>6016</v>
      </c>
      <c r="N540" s="3">
        <f>Work[[#This Row],[Revenue]]-Work[[#This Row],[Cost]]</f>
        <v>1504</v>
      </c>
      <c r="O540">
        <v>10</v>
      </c>
      <c r="P540" s="6">
        <f>Work[[#This Row],[Delivered Date]]-Work[[#This Row],[Order Date]]</f>
        <v>10</v>
      </c>
      <c r="Q540" t="s">
        <v>14</v>
      </c>
      <c r="R540" t="s">
        <v>551</v>
      </c>
      <c r="S540" t="s">
        <v>15</v>
      </c>
    </row>
    <row r="541" spans="1:19" x14ac:dyDescent="0.35">
      <c r="A541">
        <v>436</v>
      </c>
      <c r="B541" t="s">
        <v>482</v>
      </c>
      <c r="C541" t="s">
        <v>24</v>
      </c>
      <c r="D541" t="s">
        <v>38</v>
      </c>
      <c r="E541" s="9">
        <v>45988</v>
      </c>
      <c r="F541" s="9">
        <v>45995</v>
      </c>
      <c r="G541" s="4" t="str">
        <f>TEXT(Work[[#This Row],[Delivered Date]],"mmm")</f>
        <v>Dec</v>
      </c>
      <c r="H541" s="16">
        <f>MONTH(Work[[#This Row],[Delivered Date]])</f>
        <v>12</v>
      </c>
      <c r="I541" s="1" t="str">
        <f>TEXT(Work[[#This Row],[Delivered Date]],"ddd")</f>
        <v>Thu</v>
      </c>
      <c r="J541" s="4">
        <f>_xlfn.XLOOKUP(Work[[#This Row],[Product Name]],Cost[Product Name],Cost[Cost Percentage],"NA")</f>
        <v>0.5</v>
      </c>
      <c r="K541" s="3">
        <v>821</v>
      </c>
      <c r="L541" s="3">
        <f>Work[[#This Row],[Unit Price]]*Work[[#This Row],[Quantity]]</f>
        <v>821</v>
      </c>
      <c r="M541" s="3">
        <f>Work[[#This Row],[Revenue]]*Work[[#This Row],[cost percentage]]</f>
        <v>410.5</v>
      </c>
      <c r="N541" s="3">
        <f>Work[[#This Row],[Revenue]]-Work[[#This Row],[Cost]]</f>
        <v>410.5</v>
      </c>
      <c r="O541">
        <v>1</v>
      </c>
      <c r="P541" s="6">
        <f>Work[[#This Row],[Delivered Date]]-Work[[#This Row],[Order Date]]</f>
        <v>7</v>
      </c>
      <c r="Q541" t="s">
        <v>14</v>
      </c>
      <c r="R541" t="s">
        <v>549</v>
      </c>
      <c r="S541" t="s">
        <v>15</v>
      </c>
    </row>
    <row r="542" spans="1:19" x14ac:dyDescent="0.35">
      <c r="A542">
        <v>454</v>
      </c>
      <c r="B542" t="s">
        <v>500</v>
      </c>
      <c r="C542" t="s">
        <v>12</v>
      </c>
      <c r="D542" t="s">
        <v>58</v>
      </c>
      <c r="E542" s="9">
        <v>46008</v>
      </c>
      <c r="F542" s="9">
        <v>46013</v>
      </c>
      <c r="G542" s="4" t="str">
        <f>TEXT(Work[[#This Row],[Delivered Date]],"mmm")</f>
        <v>Dec</v>
      </c>
      <c r="H542" s="16">
        <f>MONTH(Work[[#This Row],[Delivered Date]])</f>
        <v>12</v>
      </c>
      <c r="I542" s="1" t="str">
        <f>TEXT(Work[[#This Row],[Delivered Date]],"ddd")</f>
        <v>Mon</v>
      </c>
      <c r="J542" s="4">
        <f>_xlfn.XLOOKUP(Work[[#This Row],[Product Name]],Cost[Product Name],Cost[Cost Percentage],"NA")</f>
        <v>0.85</v>
      </c>
      <c r="K542" s="3">
        <v>979</v>
      </c>
      <c r="L542" s="3">
        <f>Work[[#This Row],[Unit Price]]*Work[[#This Row],[Quantity]]</f>
        <v>979</v>
      </c>
      <c r="M542" s="3">
        <f>Work[[#This Row],[Revenue]]*Work[[#This Row],[cost percentage]]</f>
        <v>832.15</v>
      </c>
      <c r="N542" s="3">
        <f>Work[[#This Row],[Revenue]]-Work[[#This Row],[Cost]]</f>
        <v>146.85000000000002</v>
      </c>
      <c r="O542">
        <v>1</v>
      </c>
      <c r="P542" s="6">
        <f>Work[[#This Row],[Delivered Date]]-Work[[#This Row],[Order Date]]</f>
        <v>5</v>
      </c>
      <c r="Q542" t="s">
        <v>28</v>
      </c>
      <c r="R542" t="s">
        <v>551</v>
      </c>
      <c r="S542" t="s">
        <v>29</v>
      </c>
    </row>
    <row r="543" spans="1:19" x14ac:dyDescent="0.35">
      <c r="A543">
        <v>471</v>
      </c>
      <c r="B543" t="s">
        <v>517</v>
      </c>
      <c r="C543" t="s">
        <v>31</v>
      </c>
      <c r="D543" t="s">
        <v>32</v>
      </c>
      <c r="E543" s="9">
        <v>46012</v>
      </c>
      <c r="F543" s="9">
        <v>46015</v>
      </c>
      <c r="G543" s="4" t="str">
        <f>TEXT(Work[[#This Row],[Delivered Date]],"mmm")</f>
        <v>Dec</v>
      </c>
      <c r="H543" s="16">
        <f>MONTH(Work[[#This Row],[Delivered Date]])</f>
        <v>12</v>
      </c>
      <c r="I543" s="1" t="str">
        <f>TEXT(Work[[#This Row],[Delivered Date]],"ddd")</f>
        <v>Wed</v>
      </c>
      <c r="J543" s="4">
        <f>_xlfn.XLOOKUP(Work[[#This Row],[Product Name]],Cost[Product Name],Cost[Cost Percentage],"NA")</f>
        <v>0.75</v>
      </c>
      <c r="K543" s="3">
        <v>189</v>
      </c>
      <c r="L543" s="3">
        <f>Work[[#This Row],[Unit Price]]*Work[[#This Row],[Quantity]]</f>
        <v>1512</v>
      </c>
      <c r="M543" s="3">
        <f>Work[[#This Row],[Revenue]]*Work[[#This Row],[cost percentage]]</f>
        <v>1134</v>
      </c>
      <c r="N543" s="3">
        <f>Work[[#This Row],[Revenue]]-Work[[#This Row],[Cost]]</f>
        <v>378</v>
      </c>
      <c r="O543">
        <v>8</v>
      </c>
      <c r="P543" s="6">
        <f>Work[[#This Row],[Delivered Date]]-Work[[#This Row],[Order Date]]</f>
        <v>3</v>
      </c>
      <c r="Q543" t="s">
        <v>14</v>
      </c>
      <c r="R543" t="s">
        <v>551</v>
      </c>
      <c r="S543" t="s">
        <v>29</v>
      </c>
    </row>
    <row r="544" spans="1:19" x14ac:dyDescent="0.35">
      <c r="A544">
        <v>478</v>
      </c>
      <c r="B544" t="s">
        <v>524</v>
      </c>
      <c r="C544" t="s">
        <v>24</v>
      </c>
      <c r="D544" t="s">
        <v>70</v>
      </c>
      <c r="E544" s="9">
        <v>46007</v>
      </c>
      <c r="F544" s="9">
        <v>46017</v>
      </c>
      <c r="G544" s="4" t="str">
        <f>TEXT(Work[[#This Row],[Delivered Date]],"mmm")</f>
        <v>Dec</v>
      </c>
      <c r="H544" s="16">
        <f>MONTH(Work[[#This Row],[Delivered Date]])</f>
        <v>12</v>
      </c>
      <c r="I544" s="1" t="str">
        <f>TEXT(Work[[#This Row],[Delivered Date]],"ddd")</f>
        <v>Fri</v>
      </c>
      <c r="J544" s="4">
        <f>_xlfn.XLOOKUP(Work[[#This Row],[Product Name]],Cost[Product Name],Cost[Cost Percentage],"NA")</f>
        <v>0.55000000000000004</v>
      </c>
      <c r="K544" s="3">
        <v>10</v>
      </c>
      <c r="L544" s="3">
        <f>Work[[#This Row],[Unit Price]]*Work[[#This Row],[Quantity]]</f>
        <v>30</v>
      </c>
      <c r="M544" s="3">
        <f>Work[[#This Row],[Revenue]]*Work[[#This Row],[cost percentage]]</f>
        <v>16.5</v>
      </c>
      <c r="N544" s="3">
        <f>Work[[#This Row],[Revenue]]-Work[[#This Row],[Cost]]</f>
        <v>13.5</v>
      </c>
      <c r="O544">
        <v>3</v>
      </c>
      <c r="P544" s="6">
        <f>Work[[#This Row],[Delivered Date]]-Work[[#This Row],[Order Date]]</f>
        <v>10</v>
      </c>
      <c r="Q544" t="s">
        <v>14</v>
      </c>
      <c r="R544" t="s">
        <v>33</v>
      </c>
      <c r="S544" t="s">
        <v>46</v>
      </c>
    </row>
    <row r="545" spans="1:19" x14ac:dyDescent="0.35">
      <c r="A545">
        <v>485</v>
      </c>
      <c r="B545" t="s">
        <v>39</v>
      </c>
      <c r="C545" t="s">
        <v>17</v>
      </c>
      <c r="D545" t="s">
        <v>44</v>
      </c>
      <c r="E545" s="9">
        <v>45987</v>
      </c>
      <c r="F545" s="9">
        <v>45996</v>
      </c>
      <c r="G545" s="4" t="str">
        <f>TEXT(Work[[#This Row],[Delivered Date]],"mmm")</f>
        <v>Dec</v>
      </c>
      <c r="H545" s="16">
        <f>MONTH(Work[[#This Row],[Delivered Date]])</f>
        <v>12</v>
      </c>
      <c r="I545" s="1" t="str">
        <f>TEXT(Work[[#This Row],[Delivered Date]],"ddd")</f>
        <v>Fri</v>
      </c>
      <c r="J545" s="4">
        <f>_xlfn.XLOOKUP(Work[[#This Row],[Product Name]],Cost[Product Name],Cost[Cost Percentage],"NA")</f>
        <v>0.6</v>
      </c>
      <c r="K545" s="3">
        <v>900</v>
      </c>
      <c r="L545" s="3">
        <f>Work[[#This Row],[Unit Price]]*Work[[#This Row],[Quantity]]</f>
        <v>4500</v>
      </c>
      <c r="M545" s="3">
        <f>Work[[#This Row],[Revenue]]*Work[[#This Row],[cost percentage]]</f>
        <v>2700</v>
      </c>
      <c r="N545" s="3">
        <f>Work[[#This Row],[Revenue]]-Work[[#This Row],[Cost]]</f>
        <v>1800</v>
      </c>
      <c r="O545">
        <v>5</v>
      </c>
      <c r="P545" s="6">
        <f>Work[[#This Row],[Delivered Date]]-Work[[#This Row],[Order Date]]</f>
        <v>9</v>
      </c>
      <c r="Q545" t="s">
        <v>28</v>
      </c>
      <c r="R545" t="s">
        <v>549</v>
      </c>
      <c r="S545" t="s">
        <v>46</v>
      </c>
    </row>
    <row r="546" spans="1:19" x14ac:dyDescent="0.35">
      <c r="A546">
        <v>486</v>
      </c>
      <c r="B546" t="s">
        <v>41</v>
      </c>
      <c r="C546" t="s">
        <v>24</v>
      </c>
      <c r="D546" t="s">
        <v>25</v>
      </c>
      <c r="E546" s="9">
        <v>45988</v>
      </c>
      <c r="F546" s="9">
        <v>45994</v>
      </c>
      <c r="G546" s="4" t="str">
        <f>TEXT(Work[[#This Row],[Delivered Date]],"mmm")</f>
        <v>Dec</v>
      </c>
      <c r="H546" s="16">
        <f>MONTH(Work[[#This Row],[Delivered Date]])</f>
        <v>12</v>
      </c>
      <c r="I546" s="1" t="str">
        <f>TEXT(Work[[#This Row],[Delivered Date]],"ddd")</f>
        <v>Wed</v>
      </c>
      <c r="J546" s="4">
        <f>_xlfn.XLOOKUP(Work[[#This Row],[Product Name]],Cost[Product Name],Cost[Cost Percentage],"NA")</f>
        <v>0.55000000000000004</v>
      </c>
      <c r="K546" s="3">
        <v>444</v>
      </c>
      <c r="L546" s="3">
        <f>Work[[#This Row],[Unit Price]]*Work[[#This Row],[Quantity]]</f>
        <v>3108</v>
      </c>
      <c r="M546" s="3">
        <f>Work[[#This Row],[Revenue]]*Work[[#This Row],[cost percentage]]</f>
        <v>1709.4</v>
      </c>
      <c r="N546" s="3">
        <f>Work[[#This Row],[Revenue]]-Work[[#This Row],[Cost]]</f>
        <v>1398.6</v>
      </c>
      <c r="O546">
        <v>7</v>
      </c>
      <c r="P546" s="6">
        <f>Work[[#This Row],[Delivered Date]]-Work[[#This Row],[Order Date]]</f>
        <v>6</v>
      </c>
      <c r="Q546" t="s">
        <v>28</v>
      </c>
      <c r="R546" t="s">
        <v>549</v>
      </c>
      <c r="S546" t="s">
        <v>46</v>
      </c>
    </row>
    <row r="547" spans="1:19" x14ac:dyDescent="0.35">
      <c r="A547">
        <v>488</v>
      </c>
      <c r="B547" t="s">
        <v>45</v>
      </c>
      <c r="C547" t="s">
        <v>17</v>
      </c>
      <c r="D547" t="s">
        <v>64</v>
      </c>
      <c r="E547" s="9">
        <v>46006</v>
      </c>
      <c r="F547" s="9">
        <v>46007</v>
      </c>
      <c r="G547" s="4" t="str">
        <f>TEXT(Work[[#This Row],[Delivered Date]],"mmm")</f>
        <v>Dec</v>
      </c>
      <c r="H547" s="16">
        <f>MONTH(Work[[#This Row],[Delivered Date]])</f>
        <v>12</v>
      </c>
      <c r="I547" s="1" t="str">
        <f>TEXT(Work[[#This Row],[Delivered Date]],"ddd")</f>
        <v>Tue</v>
      </c>
      <c r="J547" s="4">
        <f>_xlfn.XLOOKUP(Work[[#This Row],[Product Name]],Cost[Product Name],Cost[Cost Percentage],"NA")</f>
        <v>0.5</v>
      </c>
      <c r="K547" s="3">
        <v>595</v>
      </c>
      <c r="L547" s="3">
        <f>Work[[#This Row],[Unit Price]]*Work[[#This Row],[Quantity]]</f>
        <v>4165</v>
      </c>
      <c r="M547" s="3">
        <f>Work[[#This Row],[Revenue]]*Work[[#This Row],[cost percentage]]</f>
        <v>2082.5</v>
      </c>
      <c r="N547" s="3">
        <f>Work[[#This Row],[Revenue]]-Work[[#This Row],[Cost]]</f>
        <v>2082.5</v>
      </c>
      <c r="O547">
        <v>7</v>
      </c>
      <c r="P547" s="6">
        <f>Work[[#This Row],[Delivered Date]]-Work[[#This Row],[Order Date]]</f>
        <v>1</v>
      </c>
      <c r="Q547" t="s">
        <v>14</v>
      </c>
      <c r="R547" t="s">
        <v>551</v>
      </c>
      <c r="S547" t="s">
        <v>19</v>
      </c>
    </row>
    <row r="548" spans="1:19" x14ac:dyDescent="0.35">
      <c r="A548">
        <v>519</v>
      </c>
      <c r="B548" t="s">
        <v>87</v>
      </c>
      <c r="C548" t="s">
        <v>17</v>
      </c>
      <c r="D548" t="s">
        <v>44</v>
      </c>
      <c r="E548" s="9">
        <v>46009</v>
      </c>
      <c r="F548" s="9">
        <v>46018</v>
      </c>
      <c r="G548" s="4" t="str">
        <f>TEXT(Work[[#This Row],[Delivered Date]],"mmm")</f>
        <v>Dec</v>
      </c>
      <c r="H548" s="16">
        <f>MONTH(Work[[#This Row],[Delivered Date]])</f>
        <v>12</v>
      </c>
      <c r="I548" s="1" t="str">
        <f>TEXT(Work[[#This Row],[Delivered Date]],"ddd")</f>
        <v>Sat</v>
      </c>
      <c r="J548" s="4">
        <f>_xlfn.XLOOKUP(Work[[#This Row],[Product Name]],Cost[Product Name],Cost[Cost Percentage],"NA")</f>
        <v>0.6</v>
      </c>
      <c r="K548" s="3">
        <v>481</v>
      </c>
      <c r="L548" s="3">
        <f>Work[[#This Row],[Unit Price]]*Work[[#This Row],[Quantity]]</f>
        <v>3367</v>
      </c>
      <c r="M548" s="3">
        <f>Work[[#This Row],[Revenue]]*Work[[#This Row],[cost percentage]]</f>
        <v>2020.1999999999998</v>
      </c>
      <c r="N548" s="3">
        <f>Work[[#This Row],[Revenue]]-Work[[#This Row],[Cost]]</f>
        <v>1346.8000000000002</v>
      </c>
      <c r="O548">
        <v>7</v>
      </c>
      <c r="P548" s="6">
        <f>Work[[#This Row],[Delivered Date]]-Work[[#This Row],[Order Date]]</f>
        <v>9</v>
      </c>
      <c r="Q548" t="s">
        <v>28</v>
      </c>
      <c r="R548" t="s">
        <v>549</v>
      </c>
      <c r="S548" t="s">
        <v>46</v>
      </c>
    </row>
    <row r="549" spans="1:19" x14ac:dyDescent="0.35">
      <c r="A549">
        <v>523</v>
      </c>
      <c r="B549" t="s">
        <v>91</v>
      </c>
      <c r="C549" t="s">
        <v>17</v>
      </c>
      <c r="D549" t="s">
        <v>64</v>
      </c>
      <c r="E549" s="9">
        <v>45995</v>
      </c>
      <c r="F549" s="9">
        <v>46001</v>
      </c>
      <c r="G549" s="4" t="str">
        <f>TEXT(Work[[#This Row],[Delivered Date]],"mmm")</f>
        <v>Dec</v>
      </c>
      <c r="H549" s="16">
        <f>MONTH(Work[[#This Row],[Delivered Date]])</f>
        <v>12</v>
      </c>
      <c r="I549" s="1" t="str">
        <f>TEXT(Work[[#This Row],[Delivered Date]],"ddd")</f>
        <v>Wed</v>
      </c>
      <c r="J549" s="4">
        <f>_xlfn.XLOOKUP(Work[[#This Row],[Product Name]],Cost[Product Name],Cost[Cost Percentage],"NA")</f>
        <v>0.5</v>
      </c>
      <c r="K549" s="3">
        <v>858</v>
      </c>
      <c r="L549" s="3">
        <f>Work[[#This Row],[Unit Price]]*Work[[#This Row],[Quantity]]</f>
        <v>4290</v>
      </c>
      <c r="M549" s="3">
        <f>Work[[#This Row],[Revenue]]*Work[[#This Row],[cost percentage]]</f>
        <v>2145</v>
      </c>
      <c r="N549" s="3">
        <f>Work[[#This Row],[Revenue]]-Work[[#This Row],[Cost]]</f>
        <v>2145</v>
      </c>
      <c r="O549">
        <v>5</v>
      </c>
      <c r="P549" s="6">
        <f>Work[[#This Row],[Delivered Date]]-Work[[#This Row],[Order Date]]</f>
        <v>6</v>
      </c>
      <c r="Q549" t="s">
        <v>14</v>
      </c>
      <c r="R549" t="s">
        <v>549</v>
      </c>
      <c r="S549" t="s">
        <v>46</v>
      </c>
    </row>
    <row r="550" spans="1:19" x14ac:dyDescent="0.35">
      <c r="A550">
        <v>526</v>
      </c>
      <c r="B550" t="s">
        <v>94</v>
      </c>
      <c r="C550" t="s">
        <v>24</v>
      </c>
      <c r="D550" t="s">
        <v>70</v>
      </c>
      <c r="E550" s="9">
        <v>45986</v>
      </c>
      <c r="F550" s="9">
        <v>45996</v>
      </c>
      <c r="G550" s="4" t="str">
        <f>TEXT(Work[[#This Row],[Delivered Date]],"mmm")</f>
        <v>Dec</v>
      </c>
      <c r="H550" s="16">
        <f>MONTH(Work[[#This Row],[Delivered Date]])</f>
        <v>12</v>
      </c>
      <c r="I550" s="1" t="str">
        <f>TEXT(Work[[#This Row],[Delivered Date]],"ddd")</f>
        <v>Fri</v>
      </c>
      <c r="J550" s="4">
        <f>_xlfn.XLOOKUP(Work[[#This Row],[Product Name]],Cost[Product Name],Cost[Cost Percentage],"NA")</f>
        <v>0.55000000000000004</v>
      </c>
      <c r="K550" s="3">
        <v>811</v>
      </c>
      <c r="L550" s="3">
        <f>Work[[#This Row],[Unit Price]]*Work[[#This Row],[Quantity]]</f>
        <v>7299</v>
      </c>
      <c r="M550" s="3">
        <f>Work[[#This Row],[Revenue]]*Work[[#This Row],[cost percentage]]</f>
        <v>4014.4500000000003</v>
      </c>
      <c r="N550" s="3">
        <f>Work[[#This Row],[Revenue]]-Work[[#This Row],[Cost]]</f>
        <v>3284.5499999999997</v>
      </c>
      <c r="O550">
        <v>9</v>
      </c>
      <c r="P550" s="6">
        <f>Work[[#This Row],[Delivered Date]]-Work[[#This Row],[Order Date]]</f>
        <v>10</v>
      </c>
      <c r="Q550" t="s">
        <v>28</v>
      </c>
      <c r="R550" t="s">
        <v>551</v>
      </c>
      <c r="S550" t="s">
        <v>29</v>
      </c>
    </row>
    <row r="551" spans="1:19" x14ac:dyDescent="0.35">
      <c r="A551">
        <v>530</v>
      </c>
      <c r="B551" t="s">
        <v>99</v>
      </c>
      <c r="C551" t="s">
        <v>12</v>
      </c>
      <c r="D551" t="s">
        <v>13</v>
      </c>
      <c r="E551" s="9">
        <v>46003</v>
      </c>
      <c r="F551" s="9">
        <v>46013</v>
      </c>
      <c r="G551" s="4" t="str">
        <f>TEXT(Work[[#This Row],[Delivered Date]],"mmm")</f>
        <v>Dec</v>
      </c>
      <c r="H551" s="16">
        <f>MONTH(Work[[#This Row],[Delivered Date]])</f>
        <v>12</v>
      </c>
      <c r="I551" s="1" t="str">
        <f>TEXT(Work[[#This Row],[Delivered Date]],"ddd")</f>
        <v>Mon</v>
      </c>
      <c r="J551" s="4">
        <f>_xlfn.XLOOKUP(Work[[#This Row],[Product Name]],Cost[Product Name],Cost[Cost Percentage],"NA")</f>
        <v>0.75</v>
      </c>
      <c r="K551" s="3">
        <v>159</v>
      </c>
      <c r="L551" s="3">
        <f>Work[[#This Row],[Unit Price]]*Work[[#This Row],[Quantity]]</f>
        <v>159</v>
      </c>
      <c r="M551" s="3">
        <f>Work[[#This Row],[Revenue]]*Work[[#This Row],[cost percentage]]</f>
        <v>119.25</v>
      </c>
      <c r="N551" s="3">
        <f>Work[[#This Row],[Revenue]]-Work[[#This Row],[Cost]]</f>
        <v>39.75</v>
      </c>
      <c r="O551">
        <v>1</v>
      </c>
      <c r="P551" s="6">
        <f>Work[[#This Row],[Delivered Date]]-Work[[#This Row],[Order Date]]</f>
        <v>10</v>
      </c>
      <c r="Q551" t="s">
        <v>14</v>
      </c>
      <c r="R551" t="s">
        <v>550</v>
      </c>
      <c r="S551" t="s">
        <v>15</v>
      </c>
    </row>
    <row r="552" spans="1:19" x14ac:dyDescent="0.35">
      <c r="A552">
        <v>532</v>
      </c>
      <c r="B552" t="s">
        <v>102</v>
      </c>
      <c r="C552" t="s">
        <v>24</v>
      </c>
      <c r="D552" t="s">
        <v>25</v>
      </c>
      <c r="E552" s="9">
        <v>45997</v>
      </c>
      <c r="F552" s="9">
        <v>45998</v>
      </c>
      <c r="G552" s="4" t="str">
        <f>TEXT(Work[[#This Row],[Delivered Date]],"mmm")</f>
        <v>Dec</v>
      </c>
      <c r="H552" s="16">
        <f>MONTH(Work[[#This Row],[Delivered Date]])</f>
        <v>12</v>
      </c>
      <c r="I552" s="1" t="str">
        <f>TEXT(Work[[#This Row],[Delivered Date]],"ddd")</f>
        <v>Sun</v>
      </c>
      <c r="J552" s="4">
        <f>_xlfn.XLOOKUP(Work[[#This Row],[Product Name]],Cost[Product Name],Cost[Cost Percentage],"NA")</f>
        <v>0.55000000000000004</v>
      </c>
      <c r="K552" s="3">
        <v>443</v>
      </c>
      <c r="L552" s="3">
        <f>Work[[#This Row],[Unit Price]]*Work[[#This Row],[Quantity]]</f>
        <v>886</v>
      </c>
      <c r="M552" s="3">
        <f>Work[[#This Row],[Revenue]]*Work[[#This Row],[cost percentage]]</f>
        <v>487.3</v>
      </c>
      <c r="N552" s="3">
        <f>Work[[#This Row],[Revenue]]-Work[[#This Row],[Cost]]</f>
        <v>398.7</v>
      </c>
      <c r="O552">
        <v>2</v>
      </c>
      <c r="P552" s="6">
        <f>Work[[#This Row],[Delivered Date]]-Work[[#This Row],[Order Date]]</f>
        <v>1</v>
      </c>
      <c r="Q552" t="s">
        <v>14</v>
      </c>
      <c r="R552" t="s">
        <v>547</v>
      </c>
      <c r="S552" t="s">
        <v>46</v>
      </c>
    </row>
    <row r="553" spans="1:19" x14ac:dyDescent="0.35">
      <c r="A553">
        <v>538</v>
      </c>
      <c r="B553" t="s">
        <v>531</v>
      </c>
      <c r="C553" t="s">
        <v>24</v>
      </c>
      <c r="D553" t="s">
        <v>25</v>
      </c>
      <c r="E553" s="9">
        <v>46008</v>
      </c>
      <c r="F553" s="9">
        <v>46014</v>
      </c>
      <c r="G553" s="4" t="str">
        <f>TEXT(Work[[#This Row],[Delivered Date]],"mmm")</f>
        <v>Dec</v>
      </c>
      <c r="H553" s="16">
        <f>MONTH(Work[[#This Row],[Delivered Date]])</f>
        <v>12</v>
      </c>
      <c r="I553" s="1" t="str">
        <f>TEXT(Work[[#This Row],[Delivered Date]],"ddd")</f>
        <v>Tue</v>
      </c>
      <c r="J553" s="4">
        <f>_xlfn.XLOOKUP(Work[[#This Row],[Product Name]],Cost[Product Name],Cost[Cost Percentage],"NA")</f>
        <v>0.55000000000000004</v>
      </c>
      <c r="K553" s="3">
        <v>891</v>
      </c>
      <c r="L553" s="3">
        <f>Work[[#This Row],[Unit Price]]*Work[[#This Row],[Quantity]]</f>
        <v>8019</v>
      </c>
      <c r="M553" s="3">
        <f>Work[[#This Row],[Revenue]]*Work[[#This Row],[cost percentage]]</f>
        <v>4410.4500000000007</v>
      </c>
      <c r="N553" s="3">
        <f>Work[[#This Row],[Revenue]]-Work[[#This Row],[Cost]]</f>
        <v>3608.5499999999993</v>
      </c>
      <c r="O553">
        <v>9</v>
      </c>
      <c r="P553" s="6">
        <f>Work[[#This Row],[Delivered Date]]-Work[[#This Row],[Order Date]]</f>
        <v>6</v>
      </c>
      <c r="Q553" t="s">
        <v>28</v>
      </c>
      <c r="R553" t="s">
        <v>550</v>
      </c>
      <c r="S553" t="s">
        <v>29</v>
      </c>
    </row>
    <row r="554" spans="1:19" x14ac:dyDescent="0.35">
      <c r="A554">
        <v>542</v>
      </c>
      <c r="B554" t="s">
        <v>535</v>
      </c>
      <c r="C554" t="s">
        <v>24</v>
      </c>
      <c r="D554" t="s">
        <v>25</v>
      </c>
      <c r="E554" s="9">
        <v>45986</v>
      </c>
      <c r="F554" s="9">
        <v>45994</v>
      </c>
      <c r="G554" s="4" t="str">
        <f>TEXT(Work[[#This Row],[Delivered Date]],"mmm")</f>
        <v>Dec</v>
      </c>
      <c r="H554" s="16">
        <f>MONTH(Work[[#This Row],[Delivered Date]])</f>
        <v>12</v>
      </c>
      <c r="I554" s="1" t="str">
        <f>TEXT(Work[[#This Row],[Delivered Date]],"ddd")</f>
        <v>Wed</v>
      </c>
      <c r="J554" s="4">
        <f>_xlfn.XLOOKUP(Work[[#This Row],[Product Name]],Cost[Product Name],Cost[Cost Percentage],"NA")</f>
        <v>0.55000000000000004</v>
      </c>
      <c r="K554" s="3">
        <v>321</v>
      </c>
      <c r="L554" s="3">
        <f>Work[[#This Row],[Unit Price]]*Work[[#This Row],[Quantity]]</f>
        <v>321</v>
      </c>
      <c r="M554" s="3">
        <f>Work[[#This Row],[Revenue]]*Work[[#This Row],[cost percentage]]</f>
        <v>176.55</v>
      </c>
      <c r="N554" s="3">
        <f>Work[[#This Row],[Revenue]]-Work[[#This Row],[Cost]]</f>
        <v>144.44999999999999</v>
      </c>
      <c r="O554">
        <v>1</v>
      </c>
      <c r="P554" s="6">
        <f>Work[[#This Row],[Delivered Date]]-Work[[#This Row],[Order Date]]</f>
        <v>8</v>
      </c>
      <c r="Q554" t="s">
        <v>14</v>
      </c>
      <c r="R554" t="s">
        <v>549</v>
      </c>
      <c r="S554" t="s">
        <v>15</v>
      </c>
    </row>
    <row r="555" spans="1:19" x14ac:dyDescent="0.35">
      <c r="A555">
        <v>545</v>
      </c>
      <c r="B555" t="s">
        <v>538</v>
      </c>
      <c r="C555" t="s">
        <v>31</v>
      </c>
      <c r="D555" t="s">
        <v>76</v>
      </c>
      <c r="E555" s="9">
        <v>46008</v>
      </c>
      <c r="F555" s="9">
        <v>46018</v>
      </c>
      <c r="G555" s="4" t="str">
        <f>TEXT(Work[[#This Row],[Delivered Date]],"mmm")</f>
        <v>Dec</v>
      </c>
      <c r="H555" s="16">
        <f>MONTH(Work[[#This Row],[Delivered Date]])</f>
        <v>12</v>
      </c>
      <c r="I555" s="1" t="str">
        <f>TEXT(Work[[#This Row],[Delivered Date]],"ddd")</f>
        <v>Sat</v>
      </c>
      <c r="J555" s="4">
        <f>_xlfn.XLOOKUP(Work[[#This Row],[Product Name]],Cost[Product Name],Cost[Cost Percentage],"NA")</f>
        <v>0.75</v>
      </c>
      <c r="K555" s="3">
        <v>172</v>
      </c>
      <c r="L555" s="3">
        <f>Work[[#This Row],[Unit Price]]*Work[[#This Row],[Quantity]]</f>
        <v>1720</v>
      </c>
      <c r="M555" s="3">
        <f>Work[[#This Row],[Revenue]]*Work[[#This Row],[cost percentage]]</f>
        <v>1290</v>
      </c>
      <c r="N555" s="3">
        <f>Work[[#This Row],[Revenue]]-Work[[#This Row],[Cost]]</f>
        <v>430</v>
      </c>
      <c r="O555">
        <v>10</v>
      </c>
      <c r="P555" s="6">
        <f>Work[[#This Row],[Delivered Date]]-Work[[#This Row],[Order Date]]</f>
        <v>10</v>
      </c>
      <c r="Q555" t="s">
        <v>14</v>
      </c>
      <c r="R555" t="s">
        <v>33</v>
      </c>
      <c r="S555" t="s">
        <v>19</v>
      </c>
    </row>
    <row r="556" spans="1:19" x14ac:dyDescent="0.35">
      <c r="A556">
        <v>548</v>
      </c>
      <c r="B556" t="s">
        <v>541</v>
      </c>
      <c r="C556" t="s">
        <v>24</v>
      </c>
      <c r="D556" t="s">
        <v>70</v>
      </c>
      <c r="E556" s="9">
        <v>46002</v>
      </c>
      <c r="F556" s="9">
        <v>46010</v>
      </c>
      <c r="G556" s="4" t="str">
        <f>TEXT(Work[[#This Row],[Delivered Date]],"mmm")</f>
        <v>Dec</v>
      </c>
      <c r="H556" s="16">
        <f>MONTH(Work[[#This Row],[Delivered Date]])</f>
        <v>12</v>
      </c>
      <c r="I556" s="1" t="str">
        <f>TEXT(Work[[#This Row],[Delivered Date]],"ddd")</f>
        <v>Fri</v>
      </c>
      <c r="J556" s="4">
        <f>_xlfn.XLOOKUP(Work[[#This Row],[Product Name]],Cost[Product Name],Cost[Cost Percentage],"NA")</f>
        <v>0.55000000000000004</v>
      </c>
      <c r="K556" s="3">
        <v>876</v>
      </c>
      <c r="L556" s="3">
        <f>Work[[#This Row],[Unit Price]]*Work[[#This Row],[Quantity]]</f>
        <v>1752</v>
      </c>
      <c r="M556" s="3">
        <f>Work[[#This Row],[Revenue]]*Work[[#This Row],[cost percentage]]</f>
        <v>963.6</v>
      </c>
      <c r="N556" s="3">
        <f>Work[[#This Row],[Revenue]]-Work[[#This Row],[Cost]]</f>
        <v>788.4</v>
      </c>
      <c r="O556">
        <v>2</v>
      </c>
      <c r="P556" s="6">
        <f>Work[[#This Row],[Delivered Date]]-Work[[#This Row],[Order Date]]</f>
        <v>8</v>
      </c>
      <c r="Q556" t="s">
        <v>28</v>
      </c>
      <c r="R556" t="s">
        <v>547</v>
      </c>
      <c r="S556" t="s">
        <v>15</v>
      </c>
    </row>
  </sheetData>
  <phoneticPr fontId="1" type="noConversion"/>
  <conditionalFormatting sqref="D4 L557:L1048576 M1:M556">
    <cfRule type="containsBlanks" dxfId="0" priority="2">
      <formula>LEN(TRIM(D1))=0</formula>
    </cfRule>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B6DC9-DDF6-4CEA-A1D5-4BB5FB463FE8}">
  <dimension ref="D2:M10"/>
  <sheetViews>
    <sheetView workbookViewId="0">
      <selection activeCell="I14" sqref="I14"/>
    </sheetView>
  </sheetViews>
  <sheetFormatPr defaultRowHeight="14.5" x14ac:dyDescent="0.35"/>
  <sheetData>
    <row r="2" spans="4:13" ht="15" thickBot="1" x14ac:dyDescent="0.4"/>
    <row r="3" spans="4:13" x14ac:dyDescent="0.35">
      <c r="D3" s="19" t="s">
        <v>7</v>
      </c>
      <c r="E3" s="19"/>
      <c r="F3" s="19" t="s">
        <v>555</v>
      </c>
      <c r="G3" s="19"/>
      <c r="H3" s="19" t="s">
        <v>557</v>
      </c>
      <c r="I3" s="19"/>
      <c r="J3" s="19" t="s">
        <v>558</v>
      </c>
      <c r="K3" s="19"/>
      <c r="L3" s="19" t="s">
        <v>6</v>
      </c>
      <c r="M3" s="19"/>
    </row>
    <row r="4" spans="4:13" x14ac:dyDescent="0.35">
      <c r="D4" s="17"/>
      <c r="E4" s="17"/>
      <c r="F4" s="17"/>
      <c r="G4" s="17"/>
      <c r="H4" s="17"/>
      <c r="I4" s="17"/>
      <c r="J4" s="17"/>
      <c r="K4" s="17"/>
      <c r="L4" s="17"/>
      <c r="M4" s="17"/>
    </row>
    <row r="5" spans="4:13" x14ac:dyDescent="0.35">
      <c r="D5" s="17" t="s">
        <v>584</v>
      </c>
      <c r="E5" s="17">
        <v>496.95315315315315</v>
      </c>
      <c r="F5" s="17" t="s">
        <v>584</v>
      </c>
      <c r="G5" s="17">
        <v>2651.452252252252</v>
      </c>
      <c r="H5" s="17" t="s">
        <v>584</v>
      </c>
      <c r="I5" s="17">
        <v>1724.7314414414416</v>
      </c>
      <c r="J5" s="17" t="s">
        <v>584</v>
      </c>
      <c r="K5" s="17">
        <v>926.72081081081001</v>
      </c>
      <c r="L5" s="17" t="s">
        <v>584</v>
      </c>
      <c r="M5" s="17">
        <v>5.4036036036036039</v>
      </c>
    </row>
    <row r="6" spans="4:13" x14ac:dyDescent="0.35">
      <c r="D6" s="17" t="s">
        <v>585</v>
      </c>
      <c r="E6" s="17">
        <v>486</v>
      </c>
      <c r="F6" s="17" t="s">
        <v>585</v>
      </c>
      <c r="G6" s="17">
        <v>1938</v>
      </c>
      <c r="H6" s="17" t="s">
        <v>585</v>
      </c>
      <c r="I6" s="17">
        <v>1262.8000000000002</v>
      </c>
      <c r="J6" s="17" t="s">
        <v>585</v>
      </c>
      <c r="K6" s="17">
        <v>650.70000000000005</v>
      </c>
      <c r="L6" s="17" t="s">
        <v>585</v>
      </c>
      <c r="M6" s="17">
        <v>5</v>
      </c>
    </row>
    <row r="7" spans="4:13" x14ac:dyDescent="0.35">
      <c r="D7" s="17" t="s">
        <v>586</v>
      </c>
      <c r="E7" s="17">
        <v>953</v>
      </c>
      <c r="F7" s="17" t="s">
        <v>586</v>
      </c>
      <c r="G7" s="17">
        <v>1512</v>
      </c>
      <c r="H7" s="17" t="s">
        <v>586</v>
      </c>
      <c r="I7" s="17">
        <v>3812</v>
      </c>
      <c r="J7" s="17" t="s">
        <v>586</v>
      </c>
      <c r="K7" s="17">
        <v>378</v>
      </c>
      <c r="L7" s="17" t="s">
        <v>586</v>
      </c>
      <c r="M7" s="17">
        <v>2</v>
      </c>
    </row>
    <row r="8" spans="4:13" x14ac:dyDescent="0.35">
      <c r="D8" s="17" t="s">
        <v>587</v>
      </c>
      <c r="E8" s="17">
        <v>10</v>
      </c>
      <c r="F8" s="17" t="s">
        <v>587</v>
      </c>
      <c r="G8" s="17">
        <v>13</v>
      </c>
      <c r="H8" s="17" t="s">
        <v>587</v>
      </c>
      <c r="I8" s="17">
        <v>8.4500000000000011</v>
      </c>
      <c r="J8" s="17" t="s">
        <v>587</v>
      </c>
      <c r="K8" s="17">
        <v>4.5499999999999989</v>
      </c>
      <c r="L8" s="17" t="s">
        <v>587</v>
      </c>
      <c r="M8" s="17">
        <v>1</v>
      </c>
    </row>
    <row r="9" spans="4:13" x14ac:dyDescent="0.35">
      <c r="D9" s="17" t="s">
        <v>588</v>
      </c>
      <c r="E9" s="17">
        <v>998</v>
      </c>
      <c r="F9" s="17" t="s">
        <v>588</v>
      </c>
      <c r="G9" s="17">
        <v>9740</v>
      </c>
      <c r="H9" s="17" t="s">
        <v>588</v>
      </c>
      <c r="I9" s="17">
        <v>7305</v>
      </c>
      <c r="J9" s="17" t="s">
        <v>588</v>
      </c>
      <c r="K9" s="17">
        <v>4615</v>
      </c>
      <c r="L9" s="17" t="s">
        <v>588</v>
      </c>
      <c r="M9" s="17">
        <v>10</v>
      </c>
    </row>
    <row r="10" spans="4:13" ht="15" thickBot="1" x14ac:dyDescent="0.4">
      <c r="D10" s="18" t="s">
        <v>589</v>
      </c>
      <c r="E10" s="18">
        <v>555</v>
      </c>
      <c r="F10" s="18" t="s">
        <v>589</v>
      </c>
      <c r="G10" s="18">
        <v>555</v>
      </c>
      <c r="H10" s="18" t="s">
        <v>589</v>
      </c>
      <c r="I10" s="18">
        <v>555</v>
      </c>
      <c r="J10" s="18" t="s">
        <v>589</v>
      </c>
      <c r="K10" s="18">
        <v>555</v>
      </c>
      <c r="L10" s="18" t="s">
        <v>589</v>
      </c>
      <c r="M10" s="18">
        <v>555</v>
      </c>
    </row>
  </sheetData>
  <mergeCells count="5">
    <mergeCell ref="D3:E3"/>
    <mergeCell ref="H3:I3"/>
    <mergeCell ref="F3:G3"/>
    <mergeCell ref="J3:K3"/>
    <mergeCell ref="L3:M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F830B-F3A6-4A0F-B54E-03EAD2F3A8BA}">
  <dimension ref="A1:I34"/>
  <sheetViews>
    <sheetView workbookViewId="0">
      <selection activeCell="E3" sqref="E3"/>
    </sheetView>
  </sheetViews>
  <sheetFormatPr defaultRowHeight="14.5" x14ac:dyDescent="0.35"/>
  <cols>
    <col min="1" max="1" width="14.36328125" bestFit="1" customWidth="1"/>
    <col min="2" max="2" width="10.81640625" bestFit="1" customWidth="1"/>
    <col min="3" max="3" width="11.81640625" bestFit="1" customWidth="1"/>
    <col min="4" max="4" width="14.54296875" bestFit="1" customWidth="1"/>
    <col min="5" max="5" width="19.90625" bestFit="1" customWidth="1"/>
    <col min="6" max="6" width="12.36328125" bestFit="1" customWidth="1"/>
    <col min="7" max="7" width="14.36328125" bestFit="1" customWidth="1"/>
    <col min="8" max="9" width="12" bestFit="1" customWidth="1"/>
    <col min="10" max="10" width="15.26953125" bestFit="1" customWidth="1"/>
    <col min="11" max="11" width="10.7265625" bestFit="1" customWidth="1"/>
  </cols>
  <sheetData>
    <row r="1" spans="1:9" x14ac:dyDescent="0.35">
      <c r="B1" t="s">
        <v>559</v>
      </c>
    </row>
    <row r="2" spans="1:9" x14ac:dyDescent="0.35">
      <c r="A2" t="s">
        <v>560</v>
      </c>
      <c r="B2" t="s">
        <v>561</v>
      </c>
      <c r="C2" t="s">
        <v>562</v>
      </c>
      <c r="D2" t="s">
        <v>563</v>
      </c>
      <c r="E2" t="s">
        <v>569</v>
      </c>
    </row>
    <row r="3" spans="1:9" s="3" customFormat="1" x14ac:dyDescent="0.35">
      <c r="A3" s="3">
        <v>1471556</v>
      </c>
      <c r="B3" s="3">
        <v>957225.95000000007</v>
      </c>
      <c r="C3" s="3">
        <v>514330.04999999958</v>
      </c>
      <c r="D3" s="3">
        <v>2999</v>
      </c>
      <c r="E3" s="11">
        <v>7.8450450450450449</v>
      </c>
      <c r="F3"/>
    </row>
    <row r="6" spans="1:9" x14ac:dyDescent="0.35">
      <c r="A6" s="5" t="s">
        <v>565</v>
      </c>
      <c r="B6" t="s">
        <v>560</v>
      </c>
      <c r="C6" t="s">
        <v>561</v>
      </c>
      <c r="D6" t="s">
        <v>562</v>
      </c>
      <c r="F6" s="5" t="s">
        <v>565</v>
      </c>
      <c r="G6" t="s">
        <v>560</v>
      </c>
      <c r="H6" t="s">
        <v>562</v>
      </c>
      <c r="I6" t="s">
        <v>561</v>
      </c>
    </row>
    <row r="7" spans="1:9" x14ac:dyDescent="0.35">
      <c r="A7" s="7" t="s">
        <v>21</v>
      </c>
      <c r="B7" s="10">
        <v>323605</v>
      </c>
      <c r="C7" s="10">
        <v>232996.9</v>
      </c>
      <c r="D7" s="10">
        <v>90608.10000000002</v>
      </c>
      <c r="F7" s="7" t="s">
        <v>575</v>
      </c>
      <c r="G7" s="2">
        <v>97752</v>
      </c>
      <c r="H7" s="2">
        <v>33113.5</v>
      </c>
      <c r="I7" s="2">
        <v>64638.499999999993</v>
      </c>
    </row>
    <row r="8" spans="1:9" x14ac:dyDescent="0.35">
      <c r="A8" s="7" t="s">
        <v>17</v>
      </c>
      <c r="B8" s="10">
        <v>320050</v>
      </c>
      <c r="C8" s="10">
        <v>175858.89999999994</v>
      </c>
      <c r="D8" s="10">
        <v>144191.09999999998</v>
      </c>
      <c r="F8" s="7" t="s">
        <v>574</v>
      </c>
      <c r="G8" s="2">
        <v>133319</v>
      </c>
      <c r="H8" s="2">
        <v>44819.349999999984</v>
      </c>
      <c r="I8" s="2">
        <v>88499.650000000009</v>
      </c>
    </row>
    <row r="9" spans="1:9" x14ac:dyDescent="0.35">
      <c r="A9" s="7" t="s">
        <v>12</v>
      </c>
      <c r="B9" s="10">
        <v>291366</v>
      </c>
      <c r="C9" s="10">
        <v>215100.05</v>
      </c>
      <c r="D9" s="10">
        <v>76265.950000000012</v>
      </c>
      <c r="F9" s="7" t="s">
        <v>578</v>
      </c>
      <c r="G9" s="2">
        <v>123815</v>
      </c>
      <c r="H9" s="2">
        <v>42577.549999999996</v>
      </c>
      <c r="I9" s="2">
        <v>81237.450000000012</v>
      </c>
    </row>
    <row r="10" spans="1:9" x14ac:dyDescent="0.35">
      <c r="A10" s="7" t="s">
        <v>24</v>
      </c>
      <c r="B10" s="10">
        <v>293726</v>
      </c>
      <c r="C10" s="10">
        <v>161652.39999999997</v>
      </c>
      <c r="D10" s="10">
        <v>132073.60000000003</v>
      </c>
      <c r="F10" s="7" t="s">
        <v>571</v>
      </c>
      <c r="G10" s="2">
        <v>151114</v>
      </c>
      <c r="H10" s="2">
        <v>47992.600000000006</v>
      </c>
      <c r="I10" s="2">
        <v>103121.39999999998</v>
      </c>
    </row>
    <row r="11" spans="1:9" x14ac:dyDescent="0.35">
      <c r="A11" s="7" t="s">
        <v>31</v>
      </c>
      <c r="B11" s="10">
        <v>242809</v>
      </c>
      <c r="C11" s="10">
        <v>171617.69999999998</v>
      </c>
      <c r="D11" s="10">
        <v>71191.300000000017</v>
      </c>
      <c r="F11" s="7" t="s">
        <v>579</v>
      </c>
      <c r="G11" s="2">
        <v>82971</v>
      </c>
      <c r="H11" s="2">
        <v>30541.500000000004</v>
      </c>
      <c r="I11" s="2">
        <v>52429.500000000007</v>
      </c>
    </row>
    <row r="12" spans="1:9" x14ac:dyDescent="0.35">
      <c r="F12" s="7" t="s">
        <v>577</v>
      </c>
      <c r="G12" s="2">
        <v>108920</v>
      </c>
      <c r="H12" s="2">
        <v>39017.899999999987</v>
      </c>
      <c r="I12" s="2">
        <v>69902.100000000006</v>
      </c>
    </row>
    <row r="13" spans="1:9" x14ac:dyDescent="0.35">
      <c r="F13" s="7" t="s">
        <v>576</v>
      </c>
      <c r="G13" s="2">
        <v>124530</v>
      </c>
      <c r="H13" s="2">
        <v>44248.150000000009</v>
      </c>
      <c r="I13" s="2">
        <v>80281.850000000006</v>
      </c>
    </row>
    <row r="14" spans="1:9" x14ac:dyDescent="0.35">
      <c r="F14" s="7" t="s">
        <v>572</v>
      </c>
      <c r="G14" s="2">
        <v>120679</v>
      </c>
      <c r="H14" s="2">
        <v>40490.650000000009</v>
      </c>
      <c r="I14" s="2">
        <v>80188.349999999991</v>
      </c>
    </row>
    <row r="15" spans="1:9" x14ac:dyDescent="0.35">
      <c r="A15" s="5" t="s">
        <v>565</v>
      </c>
      <c r="B15" t="s">
        <v>567</v>
      </c>
      <c r="F15" s="7" t="s">
        <v>581</v>
      </c>
      <c r="G15" s="2">
        <v>125684</v>
      </c>
      <c r="H15" s="2">
        <v>42498.899999999994</v>
      </c>
      <c r="I15" s="2">
        <v>83185.099999999991</v>
      </c>
    </row>
    <row r="16" spans="1:9" x14ac:dyDescent="0.35">
      <c r="A16" s="7" t="s">
        <v>14</v>
      </c>
      <c r="B16" s="12">
        <v>0.51711711711711716</v>
      </c>
      <c r="F16" s="7" t="s">
        <v>580</v>
      </c>
      <c r="G16" s="2">
        <v>98993</v>
      </c>
      <c r="H16" s="2">
        <v>36620.049999999996</v>
      </c>
      <c r="I16" s="2">
        <v>62372.950000000012</v>
      </c>
    </row>
    <row r="17" spans="1:9" x14ac:dyDescent="0.35">
      <c r="A17" s="7" t="s">
        <v>28</v>
      </c>
      <c r="B17" s="12">
        <v>0.48288288288288289</v>
      </c>
      <c r="F17" s="7" t="s">
        <v>573</v>
      </c>
      <c r="G17" s="2">
        <v>174362</v>
      </c>
      <c r="H17" s="2">
        <v>64286.200000000004</v>
      </c>
      <c r="I17" s="2">
        <v>110075.8</v>
      </c>
    </row>
    <row r="18" spans="1:9" x14ac:dyDescent="0.35">
      <c r="A18" s="7" t="s">
        <v>566</v>
      </c>
      <c r="B18" s="8">
        <v>1</v>
      </c>
      <c r="F18" s="7" t="s">
        <v>582</v>
      </c>
      <c r="G18" s="2">
        <v>129417</v>
      </c>
      <c r="H18" s="2">
        <v>48123.700000000004</v>
      </c>
      <c r="I18" s="2">
        <v>81293.3</v>
      </c>
    </row>
    <row r="19" spans="1:9" x14ac:dyDescent="0.35">
      <c r="F19" s="7" t="s">
        <v>566</v>
      </c>
      <c r="G19" s="2">
        <v>1471556</v>
      </c>
      <c r="H19" s="2">
        <v>514330.04999999958</v>
      </c>
      <c r="I19" s="2">
        <v>957225.95000000007</v>
      </c>
    </row>
    <row r="23" spans="1:9" x14ac:dyDescent="0.35">
      <c r="A23" s="5" t="s">
        <v>565</v>
      </c>
      <c r="B23" t="s">
        <v>562</v>
      </c>
    </row>
    <row r="24" spans="1:9" x14ac:dyDescent="0.35">
      <c r="A24" s="7" t="s">
        <v>25</v>
      </c>
      <c r="B24" s="13"/>
    </row>
    <row r="25" spans="1:9" x14ac:dyDescent="0.35">
      <c r="A25" s="14" t="s">
        <v>24</v>
      </c>
      <c r="B25" s="10">
        <v>45825.749999999985</v>
      </c>
    </row>
    <row r="26" spans="1:9" x14ac:dyDescent="0.35">
      <c r="A26" s="7" t="s">
        <v>64</v>
      </c>
      <c r="B26" s="13"/>
    </row>
    <row r="27" spans="1:9" x14ac:dyDescent="0.35">
      <c r="A27" s="14" t="s">
        <v>17</v>
      </c>
      <c r="B27" s="10">
        <v>35935.5</v>
      </c>
    </row>
    <row r="28" spans="1:9" x14ac:dyDescent="0.35">
      <c r="A28" s="7" t="s">
        <v>18</v>
      </c>
      <c r="B28" s="13"/>
    </row>
    <row r="29" spans="1:9" x14ac:dyDescent="0.35">
      <c r="A29" s="14" t="s">
        <v>17</v>
      </c>
      <c r="B29" s="10">
        <v>34524.5</v>
      </c>
    </row>
    <row r="30" spans="1:9" x14ac:dyDescent="0.35">
      <c r="A30" s="7" t="s">
        <v>44</v>
      </c>
      <c r="B30" s="13"/>
    </row>
    <row r="31" spans="1:9" x14ac:dyDescent="0.35">
      <c r="A31" s="14" t="s">
        <v>17</v>
      </c>
      <c r="B31" s="10">
        <v>32089.599999999999</v>
      </c>
    </row>
    <row r="32" spans="1:9" x14ac:dyDescent="0.35">
      <c r="A32" s="7" t="s">
        <v>56</v>
      </c>
      <c r="B32" s="13"/>
    </row>
    <row r="33" spans="1:2" x14ac:dyDescent="0.35">
      <c r="A33" s="14" t="s">
        <v>17</v>
      </c>
      <c r="B33" s="10">
        <v>31609.799999999996</v>
      </c>
    </row>
    <row r="34" spans="1:2" x14ac:dyDescent="0.35">
      <c r="A34" s="7" t="s">
        <v>566</v>
      </c>
      <c r="B34" s="13">
        <v>179985.15000000008</v>
      </c>
    </row>
  </sheetData>
  <pageMargins left="0.7" right="0.7" top="0.75" bottom="0.75" header="0.3" footer="0.3"/>
  <pageSetup orientation="portrait"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137BD-6FF2-49DF-8891-BD97C05E40AA}">
  <dimension ref="A1"/>
  <sheetViews>
    <sheetView showGridLines="0" tabSelected="1" zoomScale="98" zoomScaleNormal="98" workbookViewId="0">
      <selection activeCell="S22" sqref="S22"/>
    </sheetView>
  </sheetViews>
  <sheetFormatPr defaultRowHeight="15" customHeight="1" x14ac:dyDescent="0.35"/>
  <cols>
    <col min="1" max="16384" width="8.7265625" style="1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Cost Per Unit</vt:lpstr>
      <vt:lpstr>Retail Store Sales</vt:lpstr>
      <vt:lpstr>Work</vt:lpstr>
      <vt:lpstr>Descriptive Analysis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Abessolo Ateba Abhas</dc:creator>
  <cp:lastModifiedBy>Shefiat Ololade Ajayi</cp:lastModifiedBy>
  <cp:lastPrinted>2026-08-16T22:21:39Z</cp:lastPrinted>
  <dcterms:created xsi:type="dcterms:W3CDTF">2025-01-30T07:46:36Z</dcterms:created>
  <dcterms:modified xsi:type="dcterms:W3CDTF">2026-08-28T12:32:45Z</dcterms:modified>
</cp:coreProperties>
</file>